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ynan\Documents\ETH\repos\thesis\doc\presentation\"/>
    </mc:Choice>
  </mc:AlternateContent>
  <xr:revisionPtr revIDLastSave="0" documentId="13_ncr:1_{6E94E274-9BF6-4782-9AE1-318E4E0C888F}" xr6:coauthVersionLast="47" xr6:coauthVersionMax="47" xr10:uidLastSave="{00000000-0000-0000-0000-000000000000}"/>
  <bookViews>
    <workbookView xWindow="-120" yWindow="-120" windowWidth="29040" windowHeight="15840" xr2:uid="{03F1912C-B5FA-4CD4-A6A8-A41878F5EC4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28" i="1" l="1"/>
  <c r="W28" i="1"/>
  <c r="U28" i="1"/>
  <c r="T28" i="1"/>
  <c r="S28" i="1"/>
  <c r="W27" i="1"/>
  <c r="V27" i="1"/>
  <c r="U27" i="1"/>
  <c r="T27" i="1"/>
  <c r="S27" i="1"/>
  <c r="W26" i="1"/>
  <c r="V26" i="1"/>
  <c r="U26" i="1"/>
  <c r="T26" i="1"/>
  <c r="S26" i="1"/>
  <c r="W25" i="1"/>
  <c r="V25" i="1"/>
  <c r="U25" i="1"/>
  <c r="T25" i="1"/>
  <c r="S25" i="1"/>
  <c r="W24" i="1"/>
  <c r="V24" i="1"/>
  <c r="U24" i="1"/>
  <c r="T24" i="1"/>
  <c r="S24" i="1"/>
  <c r="W23" i="1"/>
  <c r="V23" i="1"/>
  <c r="U23" i="1"/>
  <c r="T23" i="1"/>
  <c r="S23" i="1"/>
  <c r="W22" i="1"/>
  <c r="V22" i="1"/>
  <c r="U22" i="1"/>
  <c r="T22" i="1"/>
  <c r="S22" i="1"/>
  <c r="W21" i="1"/>
  <c r="V21" i="1"/>
  <c r="U21" i="1"/>
  <c r="T21" i="1"/>
  <c r="S21" i="1"/>
  <c r="S20" i="1"/>
  <c r="W20" i="1"/>
  <c r="V20" i="1"/>
  <c r="U20" i="1"/>
  <c r="T20" i="1"/>
  <c r="T19" i="1"/>
  <c r="U19" i="1"/>
  <c r="V19" i="1"/>
  <c r="W19" i="1"/>
  <c r="S19" i="1"/>
  <c r="W11" i="1"/>
  <c r="V11" i="1"/>
  <c r="U11" i="1"/>
  <c r="T11" i="1"/>
  <c r="S11" i="1"/>
  <c r="S2" i="1"/>
  <c r="T2" i="1"/>
  <c r="U2" i="1"/>
  <c r="V2" i="1"/>
  <c r="S3" i="1"/>
  <c r="T3" i="1"/>
  <c r="U3" i="1"/>
  <c r="V3" i="1"/>
  <c r="S4" i="1"/>
  <c r="T4" i="1"/>
  <c r="U4" i="1"/>
  <c r="V4" i="1"/>
  <c r="S5" i="1"/>
  <c r="T5" i="1"/>
  <c r="U5" i="1"/>
  <c r="V5" i="1"/>
  <c r="S6" i="1"/>
  <c r="T6" i="1"/>
  <c r="U6" i="1"/>
  <c r="V6" i="1"/>
  <c r="S7" i="1"/>
  <c r="T7" i="1"/>
  <c r="U7" i="1"/>
  <c r="V7" i="1"/>
  <c r="S8" i="1"/>
  <c r="T8" i="1"/>
  <c r="U8" i="1"/>
  <c r="V8" i="1"/>
  <c r="S9" i="1"/>
  <c r="T9" i="1"/>
  <c r="U9" i="1"/>
  <c r="V9" i="1"/>
  <c r="S10" i="1"/>
  <c r="T10" i="1"/>
  <c r="U10" i="1"/>
  <c r="V10" i="1"/>
  <c r="W10" i="1"/>
  <c r="W9" i="1"/>
  <c r="W8" i="1"/>
  <c r="W7" i="1"/>
  <c r="W6" i="1"/>
  <c r="W5" i="1"/>
  <c r="W4" i="1"/>
  <c r="W3" i="1"/>
  <c r="W2" i="1"/>
  <c r="F28" i="1"/>
  <c r="F29" i="1" s="1"/>
  <c r="F27" i="1"/>
  <c r="F26" i="1"/>
  <c r="F25" i="1"/>
  <c r="F24" i="1"/>
  <c r="F23" i="1"/>
  <c r="F22" i="1"/>
  <c r="F21" i="1"/>
  <c r="F20" i="1"/>
  <c r="F19" i="1"/>
  <c r="F3" i="1"/>
  <c r="F4" i="1"/>
  <c r="F5" i="1"/>
  <c r="F6" i="1"/>
  <c r="F7" i="1"/>
  <c r="F8" i="1"/>
  <c r="F9" i="1"/>
  <c r="F10" i="1"/>
  <c r="F11" i="1"/>
  <c r="F2" i="1"/>
  <c r="G11" i="1" l="1"/>
  <c r="G26" i="1"/>
  <c r="G10" i="1"/>
  <c r="G25" i="1"/>
  <c r="G24" i="1"/>
  <c r="G8" i="1"/>
  <c r="G4" i="1"/>
  <c r="G7" i="1"/>
  <c r="G27" i="1"/>
  <c r="G28" i="1"/>
  <c r="F12" i="1"/>
  <c r="G6" i="1"/>
  <c r="G9" i="1"/>
  <c r="G3" i="1"/>
  <c r="G22" i="1"/>
  <c r="G2" i="1"/>
  <c r="G20" i="1"/>
  <c r="G19" i="1"/>
  <c r="G21" i="1"/>
  <c r="G23" i="1"/>
  <c r="G5" i="1"/>
  <c r="G29" i="1" l="1"/>
  <c r="G12" i="1"/>
</calcChain>
</file>

<file path=xl/sharedStrings.xml><?xml version="1.0" encoding="utf-8"?>
<sst xmlns="http://schemas.openxmlformats.org/spreadsheetml/2006/main" count="60" uniqueCount="23">
  <si>
    <t>Category</t>
  </si>
  <si>
    <t>Losses 2021</t>
  </si>
  <si>
    <t>Losses 2022</t>
  </si>
  <si>
    <t>Losses 2023</t>
  </si>
  <si>
    <t>Losses 2024</t>
  </si>
  <si>
    <t>Total Losses</t>
  </si>
  <si>
    <t>Business Logic</t>
  </si>
  <si>
    <t>Price Manipulation</t>
  </si>
  <si>
    <t>Access Control</t>
  </si>
  <si>
    <t>Reentrancy</t>
  </si>
  <si>
    <t>Input Validation</t>
  </si>
  <si>
    <t>Precision</t>
  </si>
  <si>
    <t>Arbitrary Call</t>
  </si>
  <si>
    <t>Token Design</t>
  </si>
  <si>
    <t>Slippage</t>
  </si>
  <si>
    <t>Other</t>
  </si>
  <si>
    <t>Pct Count</t>
  </si>
  <si>
    <t>Pct Losses</t>
  </si>
  <si>
    <t>Total</t>
  </si>
  <si>
    <t>Counts 2021</t>
  </si>
  <si>
    <t>Counts 2022</t>
  </si>
  <si>
    <t>Counts 2023</t>
  </si>
  <si>
    <t>Counts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</si>
</sst>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H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Sheet1!$A$2</c:f>
              <c:strCache>
                <c:ptCount val="1"/>
                <c:pt idx="0">
                  <c:v>Business Logic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Sheet1!$B$1:$F$1</c:f>
              <c:strCache>
                <c:ptCount val="5"/>
                <c:pt idx="0">
                  <c:v>Losses 2021</c:v>
                </c:pt>
                <c:pt idx="1">
                  <c:v>Losses 2022</c:v>
                </c:pt>
                <c:pt idx="2">
                  <c:v>Losses 2023</c:v>
                </c:pt>
                <c:pt idx="3">
                  <c:v>Losses 2024</c:v>
                </c:pt>
                <c:pt idx="4">
                  <c:v>Total Losses</c:v>
                </c:pt>
              </c:strCache>
            </c:strRef>
          </c:cat>
          <c:val>
            <c:numRef>
              <c:f>Sheet1!$B$2:$F$2</c:f>
              <c:numCache>
                <c:formatCode>General</c:formatCode>
                <c:ptCount val="5"/>
                <c:pt idx="0">
                  <c:v>62</c:v>
                </c:pt>
                <c:pt idx="1">
                  <c:v>178</c:v>
                </c:pt>
                <c:pt idx="2">
                  <c:v>223</c:v>
                </c:pt>
                <c:pt idx="3">
                  <c:v>61</c:v>
                </c:pt>
                <c:pt idx="4">
                  <c:v>524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27-4877-B3BF-325EFD0E9D7C}"/>
            </c:ext>
          </c:extLst>
        </c:ser>
        <c:ser>
          <c:idx val="1"/>
          <c:order val="1"/>
          <c:tx>
            <c:strRef>
              <c:f>Sheet1!$A$3</c:f>
              <c:strCache>
                <c:ptCount val="1"/>
                <c:pt idx="0">
                  <c:v>Price Manipulation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Sheet1!$B$1:$F$1</c:f>
              <c:strCache>
                <c:ptCount val="5"/>
                <c:pt idx="0">
                  <c:v>Losses 2021</c:v>
                </c:pt>
                <c:pt idx="1">
                  <c:v>Losses 2022</c:v>
                </c:pt>
                <c:pt idx="2">
                  <c:v>Losses 2023</c:v>
                </c:pt>
                <c:pt idx="3">
                  <c:v>Losses 2024</c:v>
                </c:pt>
                <c:pt idx="4">
                  <c:v>Total Losses</c:v>
                </c:pt>
              </c:strCache>
            </c:strRef>
          </c:cat>
          <c:val>
            <c:numRef>
              <c:f>Sheet1!$B$3:$F$3</c:f>
              <c:numCache>
                <c:formatCode>General</c:formatCode>
                <c:ptCount val="5"/>
                <c:pt idx="0">
                  <c:v>215</c:v>
                </c:pt>
                <c:pt idx="1">
                  <c:v>48</c:v>
                </c:pt>
                <c:pt idx="2">
                  <c:v>115</c:v>
                </c:pt>
                <c:pt idx="3">
                  <c:v>44</c:v>
                </c:pt>
                <c:pt idx="4">
                  <c:v>422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327-4877-B3BF-325EFD0E9D7C}"/>
            </c:ext>
          </c:extLst>
        </c:ser>
        <c:ser>
          <c:idx val="2"/>
          <c:order val="2"/>
          <c:tx>
            <c:strRef>
              <c:f>Sheet1!$A$4</c:f>
              <c:strCache>
                <c:ptCount val="1"/>
                <c:pt idx="0">
                  <c:v>Access Control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Sheet1!$B$1:$F$1</c:f>
              <c:strCache>
                <c:ptCount val="5"/>
                <c:pt idx="0">
                  <c:v>Losses 2021</c:v>
                </c:pt>
                <c:pt idx="1">
                  <c:v>Losses 2022</c:v>
                </c:pt>
                <c:pt idx="2">
                  <c:v>Losses 2023</c:v>
                </c:pt>
                <c:pt idx="3">
                  <c:v>Losses 2024</c:v>
                </c:pt>
                <c:pt idx="4">
                  <c:v>Total Losses</c:v>
                </c:pt>
              </c:strCache>
            </c:strRef>
          </c:cat>
          <c:val>
            <c:numRef>
              <c:f>Sheet1!$B$4:$F$4</c:f>
              <c:numCache>
                <c:formatCode>General</c:formatCode>
                <c:ptCount val="5"/>
                <c:pt idx="0">
                  <c:v>4</c:v>
                </c:pt>
                <c:pt idx="1">
                  <c:v>26</c:v>
                </c:pt>
                <c:pt idx="2">
                  <c:v>15.5</c:v>
                </c:pt>
                <c:pt idx="3">
                  <c:v>15</c:v>
                </c:pt>
                <c:pt idx="4">
                  <c:v>60.5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327-4877-B3BF-325EFD0E9D7C}"/>
            </c:ext>
          </c:extLst>
        </c:ser>
        <c:ser>
          <c:idx val="3"/>
          <c:order val="3"/>
          <c:tx>
            <c:strRef>
              <c:f>Sheet1!$A$5</c:f>
              <c:strCache>
                <c:ptCount val="1"/>
                <c:pt idx="0">
                  <c:v>Reentrancy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Sheet1!$B$1:$F$1</c:f>
              <c:strCache>
                <c:ptCount val="5"/>
                <c:pt idx="0">
                  <c:v>Losses 2021</c:v>
                </c:pt>
                <c:pt idx="1">
                  <c:v>Losses 2022</c:v>
                </c:pt>
                <c:pt idx="2">
                  <c:v>Losses 2023</c:v>
                </c:pt>
                <c:pt idx="3">
                  <c:v>Losses 2024</c:v>
                </c:pt>
                <c:pt idx="4">
                  <c:v>Total Losses</c:v>
                </c:pt>
              </c:strCache>
            </c:strRef>
          </c:cat>
          <c:val>
            <c:numRef>
              <c:f>Sheet1!$B$5:$F$5</c:f>
              <c:numCache>
                <c:formatCode>General</c:formatCode>
                <c:ptCount val="5"/>
                <c:pt idx="0">
                  <c:v>87</c:v>
                </c:pt>
                <c:pt idx="1">
                  <c:v>103</c:v>
                </c:pt>
                <c:pt idx="2">
                  <c:v>63</c:v>
                </c:pt>
                <c:pt idx="3">
                  <c:v>31</c:v>
                </c:pt>
                <c:pt idx="4">
                  <c:v>284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327-4877-B3BF-325EFD0E9D7C}"/>
            </c:ext>
          </c:extLst>
        </c:ser>
        <c:ser>
          <c:idx val="4"/>
          <c:order val="4"/>
          <c:tx>
            <c:strRef>
              <c:f>Sheet1!$A$6</c:f>
              <c:strCache>
                <c:ptCount val="1"/>
                <c:pt idx="0">
                  <c:v>Input Validation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Sheet1!$B$1:$F$1</c:f>
              <c:strCache>
                <c:ptCount val="5"/>
                <c:pt idx="0">
                  <c:v>Losses 2021</c:v>
                </c:pt>
                <c:pt idx="1">
                  <c:v>Losses 2022</c:v>
                </c:pt>
                <c:pt idx="2">
                  <c:v>Losses 2023</c:v>
                </c:pt>
                <c:pt idx="3">
                  <c:v>Losses 2024</c:v>
                </c:pt>
                <c:pt idx="4">
                  <c:v>Total Losses</c:v>
                </c:pt>
              </c:strCache>
            </c:strRef>
          </c:cat>
          <c:val>
            <c:numRef>
              <c:f>Sheet1!$B$6:$F$6</c:f>
              <c:numCache>
                <c:formatCode>General</c:formatCode>
                <c:ptCount val="5"/>
                <c:pt idx="0">
                  <c:v>20</c:v>
                </c:pt>
                <c:pt idx="1">
                  <c:v>1.9</c:v>
                </c:pt>
                <c:pt idx="2">
                  <c:v>10.6</c:v>
                </c:pt>
                <c:pt idx="3">
                  <c:v>109</c:v>
                </c:pt>
                <c:pt idx="4">
                  <c:v>141.5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327-4877-B3BF-325EFD0E9D7C}"/>
            </c:ext>
          </c:extLst>
        </c:ser>
        <c:ser>
          <c:idx val="5"/>
          <c:order val="5"/>
          <c:tx>
            <c:strRef>
              <c:f>Sheet1!$A$7</c:f>
              <c:strCache>
                <c:ptCount val="1"/>
                <c:pt idx="0">
                  <c:v>Precision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Sheet1!$B$1:$F$1</c:f>
              <c:strCache>
                <c:ptCount val="5"/>
                <c:pt idx="0">
                  <c:v>Losses 2021</c:v>
                </c:pt>
                <c:pt idx="1">
                  <c:v>Losses 2022</c:v>
                </c:pt>
                <c:pt idx="2">
                  <c:v>Losses 2023</c:v>
                </c:pt>
                <c:pt idx="3">
                  <c:v>Losses 2024</c:v>
                </c:pt>
                <c:pt idx="4">
                  <c:v>Total Losses</c:v>
                </c:pt>
              </c:strCache>
            </c:strRef>
          </c:cat>
          <c:val>
            <c:numRef>
              <c:f>Sheet1!$B$7:$F$7</c:f>
              <c:numCache>
                <c:formatCode>General</c:formatCode>
                <c:ptCount val="5"/>
                <c:pt idx="0">
                  <c:v>51</c:v>
                </c:pt>
                <c:pt idx="1">
                  <c:v>3.7</c:v>
                </c:pt>
                <c:pt idx="2">
                  <c:v>65</c:v>
                </c:pt>
                <c:pt idx="3">
                  <c:v>32</c:v>
                </c:pt>
                <c:pt idx="4">
                  <c:v>151.69999999999999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327-4877-B3BF-325EFD0E9D7C}"/>
            </c:ext>
          </c:extLst>
        </c:ser>
        <c:ser>
          <c:idx val="6"/>
          <c:order val="6"/>
          <c:tx>
            <c:strRef>
              <c:f>Sheet1!$A$8</c:f>
              <c:strCache>
                <c:ptCount val="1"/>
                <c:pt idx="0">
                  <c:v>Arbitrary Call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Sheet1!$B$1:$F$1</c:f>
              <c:strCache>
                <c:ptCount val="5"/>
                <c:pt idx="0">
                  <c:v>Losses 2021</c:v>
                </c:pt>
                <c:pt idx="1">
                  <c:v>Losses 2022</c:v>
                </c:pt>
                <c:pt idx="2">
                  <c:v>Losses 2023</c:v>
                </c:pt>
                <c:pt idx="3">
                  <c:v>Losses 2024</c:v>
                </c:pt>
                <c:pt idx="4">
                  <c:v>Total Losses</c:v>
                </c:pt>
              </c:strCache>
            </c:strRef>
          </c:cat>
          <c:val>
            <c:numRef>
              <c:f>Sheet1!$B$8:$F$8</c:f>
              <c:numCache>
                <c:formatCode>General</c:formatCode>
                <c:ptCount val="5"/>
                <c:pt idx="0">
                  <c:v>0</c:v>
                </c:pt>
                <c:pt idx="1">
                  <c:v>4.3</c:v>
                </c:pt>
                <c:pt idx="2">
                  <c:v>2.4</c:v>
                </c:pt>
                <c:pt idx="3">
                  <c:v>9</c:v>
                </c:pt>
                <c:pt idx="4">
                  <c:v>15.7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327-4877-B3BF-325EFD0E9D7C}"/>
            </c:ext>
          </c:extLst>
        </c:ser>
        <c:ser>
          <c:idx val="7"/>
          <c:order val="7"/>
          <c:tx>
            <c:strRef>
              <c:f>Sheet1!$A$9</c:f>
              <c:strCache>
                <c:ptCount val="1"/>
                <c:pt idx="0">
                  <c:v>Token Design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Sheet1!$B$1:$F$1</c:f>
              <c:strCache>
                <c:ptCount val="5"/>
                <c:pt idx="0">
                  <c:v>Losses 2021</c:v>
                </c:pt>
                <c:pt idx="1">
                  <c:v>Losses 2022</c:v>
                </c:pt>
                <c:pt idx="2">
                  <c:v>Losses 2023</c:v>
                </c:pt>
                <c:pt idx="3">
                  <c:v>Losses 2024</c:v>
                </c:pt>
                <c:pt idx="4">
                  <c:v>Total Losses</c:v>
                </c:pt>
              </c:strCache>
            </c:strRef>
          </c:cat>
          <c:val>
            <c:numRef>
              <c:f>Sheet1!$B$9:$F$9</c:f>
              <c:numCache>
                <c:formatCode>General</c:formatCode>
                <c:ptCount val="5"/>
                <c:pt idx="0">
                  <c:v>0.2</c:v>
                </c:pt>
                <c:pt idx="1">
                  <c:v>7.5999999999999998E-2</c:v>
                </c:pt>
                <c:pt idx="2">
                  <c:v>0.35499999999999998</c:v>
                </c:pt>
                <c:pt idx="3">
                  <c:v>5</c:v>
                </c:pt>
                <c:pt idx="4">
                  <c:v>5.6310000000000002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8327-4877-B3BF-325EFD0E9D7C}"/>
            </c:ext>
          </c:extLst>
        </c:ser>
        <c:ser>
          <c:idx val="8"/>
          <c:order val="8"/>
          <c:tx>
            <c:strRef>
              <c:f>Sheet1!$A$10</c:f>
              <c:strCache>
                <c:ptCount val="1"/>
                <c:pt idx="0">
                  <c:v>Slippage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Sheet1!$B$1:$F$1</c:f>
              <c:strCache>
                <c:ptCount val="5"/>
                <c:pt idx="0">
                  <c:v>Losses 2021</c:v>
                </c:pt>
                <c:pt idx="1">
                  <c:v>Losses 2022</c:v>
                </c:pt>
                <c:pt idx="2">
                  <c:v>Losses 2023</c:v>
                </c:pt>
                <c:pt idx="3">
                  <c:v>Losses 2024</c:v>
                </c:pt>
                <c:pt idx="4">
                  <c:v>Total Losses</c:v>
                </c:pt>
              </c:strCache>
            </c:strRef>
          </c:cat>
          <c:val>
            <c:numRef>
              <c:f>Sheet1!$B$10:$F$10</c:f>
              <c:numCache>
                <c:formatCode>General</c:formatCode>
                <c:ptCount val="5"/>
                <c:pt idx="0">
                  <c:v>11</c:v>
                </c:pt>
                <c:pt idx="1">
                  <c:v>0</c:v>
                </c:pt>
                <c:pt idx="2">
                  <c:v>0.66300000000000003</c:v>
                </c:pt>
                <c:pt idx="3">
                  <c:v>9.0999999999999998E-2</c:v>
                </c:pt>
                <c:pt idx="4">
                  <c:v>11.754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327-4877-B3BF-325EFD0E9D7C}"/>
            </c:ext>
          </c:extLst>
        </c:ser>
        <c:ser>
          <c:idx val="9"/>
          <c:order val="9"/>
          <c:tx>
            <c:strRef>
              <c:f>Sheet1!$A$11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Sheet1!$B$1:$F$1</c:f>
              <c:strCache>
                <c:ptCount val="5"/>
                <c:pt idx="0">
                  <c:v>Losses 2021</c:v>
                </c:pt>
                <c:pt idx="1">
                  <c:v>Losses 2022</c:v>
                </c:pt>
                <c:pt idx="2">
                  <c:v>Losses 2023</c:v>
                </c:pt>
                <c:pt idx="3">
                  <c:v>Losses 2024</c:v>
                </c:pt>
                <c:pt idx="4">
                  <c:v>Total Losses</c:v>
                </c:pt>
              </c:strCache>
            </c:strRef>
          </c:cat>
          <c:val>
            <c:numRef>
              <c:f>Sheet1!$B$11:$F$11</c:f>
              <c:numCache>
                <c:formatCode>General</c:formatCode>
                <c:ptCount val="5"/>
                <c:pt idx="0">
                  <c:v>0</c:v>
                </c:pt>
                <c:pt idx="1">
                  <c:v>34</c:v>
                </c:pt>
                <c:pt idx="2">
                  <c:v>18</c:v>
                </c:pt>
                <c:pt idx="3">
                  <c:v>2.4</c:v>
                </c:pt>
                <c:pt idx="4">
                  <c:v>54.4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8327-4877-B3BF-325EFD0E9D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54210047"/>
        <c:axId val="954191807"/>
      </c:barChart>
      <c:catAx>
        <c:axId val="9542100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954191807"/>
        <c:crosses val="autoZero"/>
        <c:auto val="1"/>
        <c:lblAlgn val="ctr"/>
        <c:lblOffset val="100"/>
        <c:noMultiLvlLbl val="0"/>
      </c:catAx>
      <c:valAx>
        <c:axId val="954191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9542100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H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H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H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Sheet1!$A$19</c:f>
              <c:strCache>
                <c:ptCount val="1"/>
                <c:pt idx="0">
                  <c:v>Business Logic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Sheet1!$B$18:$G$18</c:f>
              <c:strCache>
                <c:ptCount val="6"/>
                <c:pt idx="0">
                  <c:v>Counts 2021</c:v>
                </c:pt>
                <c:pt idx="1">
                  <c:v>Counts 2022</c:v>
                </c:pt>
                <c:pt idx="2">
                  <c:v>Counts 2023</c:v>
                </c:pt>
                <c:pt idx="3">
                  <c:v>Counts 2024</c:v>
                </c:pt>
                <c:pt idx="4">
                  <c:v>Total</c:v>
                </c:pt>
                <c:pt idx="5">
                  <c:v>Pct Count</c:v>
                </c:pt>
              </c:strCache>
            </c:strRef>
          </c:cat>
          <c:val>
            <c:numRef>
              <c:f>Sheet1!$B$19:$G$19</c:f>
              <c:numCache>
                <c:formatCode>General</c:formatCode>
                <c:ptCount val="6"/>
                <c:pt idx="0">
                  <c:v>7</c:v>
                </c:pt>
                <c:pt idx="1">
                  <c:v>21</c:v>
                </c:pt>
                <c:pt idx="2">
                  <c:v>65</c:v>
                </c:pt>
                <c:pt idx="3">
                  <c:v>58</c:v>
                </c:pt>
                <c:pt idx="4">
                  <c:v>151</c:v>
                </c:pt>
                <c:pt idx="5">
                  <c:v>27.504553734061933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36-47CE-816F-C10CB378676D}"/>
            </c:ext>
          </c:extLst>
        </c:ser>
        <c:ser>
          <c:idx val="1"/>
          <c:order val="1"/>
          <c:tx>
            <c:strRef>
              <c:f>Sheet1!$A$20</c:f>
              <c:strCache>
                <c:ptCount val="1"/>
                <c:pt idx="0">
                  <c:v>Price Manipulation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Sheet1!$B$18:$G$18</c:f>
              <c:strCache>
                <c:ptCount val="6"/>
                <c:pt idx="0">
                  <c:v>Counts 2021</c:v>
                </c:pt>
                <c:pt idx="1">
                  <c:v>Counts 2022</c:v>
                </c:pt>
                <c:pt idx="2">
                  <c:v>Counts 2023</c:v>
                </c:pt>
                <c:pt idx="3">
                  <c:v>Counts 2024</c:v>
                </c:pt>
                <c:pt idx="4">
                  <c:v>Total</c:v>
                </c:pt>
                <c:pt idx="5">
                  <c:v>Pct Count</c:v>
                </c:pt>
              </c:strCache>
            </c:strRef>
          </c:cat>
          <c:val>
            <c:numRef>
              <c:f>Sheet1!$B$20:$G$20</c:f>
              <c:numCache>
                <c:formatCode>General</c:formatCode>
                <c:ptCount val="6"/>
                <c:pt idx="0">
                  <c:v>10</c:v>
                </c:pt>
                <c:pt idx="1">
                  <c:v>35</c:v>
                </c:pt>
                <c:pt idx="2">
                  <c:v>42</c:v>
                </c:pt>
                <c:pt idx="3">
                  <c:v>21</c:v>
                </c:pt>
                <c:pt idx="4">
                  <c:v>108</c:v>
                </c:pt>
                <c:pt idx="5">
                  <c:v>19.672131147540984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636-47CE-816F-C10CB378676D}"/>
            </c:ext>
          </c:extLst>
        </c:ser>
        <c:ser>
          <c:idx val="2"/>
          <c:order val="2"/>
          <c:tx>
            <c:strRef>
              <c:f>Sheet1!$A$21</c:f>
              <c:strCache>
                <c:ptCount val="1"/>
                <c:pt idx="0">
                  <c:v>Access Control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Sheet1!$B$18:$G$18</c:f>
              <c:strCache>
                <c:ptCount val="6"/>
                <c:pt idx="0">
                  <c:v>Counts 2021</c:v>
                </c:pt>
                <c:pt idx="1">
                  <c:v>Counts 2022</c:v>
                </c:pt>
                <c:pt idx="2">
                  <c:v>Counts 2023</c:v>
                </c:pt>
                <c:pt idx="3">
                  <c:v>Counts 2024</c:v>
                </c:pt>
                <c:pt idx="4">
                  <c:v>Total</c:v>
                </c:pt>
                <c:pt idx="5">
                  <c:v>Pct Count</c:v>
                </c:pt>
              </c:strCache>
            </c:strRef>
          </c:cat>
          <c:val>
            <c:numRef>
              <c:f>Sheet1!$B$21:$G$21</c:f>
              <c:numCache>
                <c:formatCode>General</c:formatCode>
                <c:ptCount val="6"/>
                <c:pt idx="0">
                  <c:v>3</c:v>
                </c:pt>
                <c:pt idx="1">
                  <c:v>16</c:v>
                </c:pt>
                <c:pt idx="2">
                  <c:v>22</c:v>
                </c:pt>
                <c:pt idx="3">
                  <c:v>35</c:v>
                </c:pt>
                <c:pt idx="4">
                  <c:v>76</c:v>
                </c:pt>
                <c:pt idx="5">
                  <c:v>13.843351548269581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636-47CE-816F-C10CB378676D}"/>
            </c:ext>
          </c:extLst>
        </c:ser>
        <c:ser>
          <c:idx val="3"/>
          <c:order val="3"/>
          <c:tx>
            <c:strRef>
              <c:f>Sheet1!$A$22</c:f>
              <c:strCache>
                <c:ptCount val="1"/>
                <c:pt idx="0">
                  <c:v>Reentrancy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Sheet1!$B$18:$G$18</c:f>
              <c:strCache>
                <c:ptCount val="6"/>
                <c:pt idx="0">
                  <c:v>Counts 2021</c:v>
                </c:pt>
                <c:pt idx="1">
                  <c:v>Counts 2022</c:v>
                </c:pt>
                <c:pt idx="2">
                  <c:v>Counts 2023</c:v>
                </c:pt>
                <c:pt idx="3">
                  <c:v>Counts 2024</c:v>
                </c:pt>
                <c:pt idx="4">
                  <c:v>Total</c:v>
                </c:pt>
                <c:pt idx="5">
                  <c:v>Pct Count</c:v>
                </c:pt>
              </c:strCache>
            </c:strRef>
          </c:cat>
          <c:val>
            <c:numRef>
              <c:f>Sheet1!$B$22:$G$22</c:f>
              <c:numCache>
                <c:formatCode>General</c:formatCode>
                <c:ptCount val="6"/>
                <c:pt idx="0">
                  <c:v>9</c:v>
                </c:pt>
                <c:pt idx="1">
                  <c:v>13</c:v>
                </c:pt>
                <c:pt idx="2">
                  <c:v>17</c:v>
                </c:pt>
                <c:pt idx="3">
                  <c:v>15</c:v>
                </c:pt>
                <c:pt idx="4">
                  <c:v>54</c:v>
                </c:pt>
                <c:pt idx="5">
                  <c:v>9.8360655737704921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636-47CE-816F-C10CB378676D}"/>
            </c:ext>
          </c:extLst>
        </c:ser>
        <c:ser>
          <c:idx val="4"/>
          <c:order val="4"/>
          <c:tx>
            <c:strRef>
              <c:f>Sheet1!$A$23</c:f>
              <c:strCache>
                <c:ptCount val="1"/>
                <c:pt idx="0">
                  <c:v>Input Validation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Sheet1!$B$18:$G$18</c:f>
              <c:strCache>
                <c:ptCount val="6"/>
                <c:pt idx="0">
                  <c:v>Counts 2021</c:v>
                </c:pt>
                <c:pt idx="1">
                  <c:v>Counts 2022</c:v>
                </c:pt>
                <c:pt idx="2">
                  <c:v>Counts 2023</c:v>
                </c:pt>
                <c:pt idx="3">
                  <c:v>Counts 2024</c:v>
                </c:pt>
                <c:pt idx="4">
                  <c:v>Total</c:v>
                </c:pt>
                <c:pt idx="5">
                  <c:v>Pct Count</c:v>
                </c:pt>
              </c:strCache>
            </c:strRef>
          </c:cat>
          <c:val>
            <c:numRef>
              <c:f>Sheet1!$B$23:$G$23</c:f>
              <c:numCache>
                <c:formatCode>General</c:formatCode>
                <c:ptCount val="6"/>
                <c:pt idx="0">
                  <c:v>2</c:v>
                </c:pt>
                <c:pt idx="1">
                  <c:v>10</c:v>
                </c:pt>
                <c:pt idx="2">
                  <c:v>8</c:v>
                </c:pt>
                <c:pt idx="3">
                  <c:v>18</c:v>
                </c:pt>
                <c:pt idx="4">
                  <c:v>38</c:v>
                </c:pt>
                <c:pt idx="5">
                  <c:v>6.9216757741347905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636-47CE-816F-C10CB378676D}"/>
            </c:ext>
          </c:extLst>
        </c:ser>
        <c:ser>
          <c:idx val="5"/>
          <c:order val="5"/>
          <c:tx>
            <c:strRef>
              <c:f>Sheet1!$A$24</c:f>
              <c:strCache>
                <c:ptCount val="1"/>
                <c:pt idx="0">
                  <c:v>Precision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Sheet1!$B$18:$G$18</c:f>
              <c:strCache>
                <c:ptCount val="6"/>
                <c:pt idx="0">
                  <c:v>Counts 2021</c:v>
                </c:pt>
                <c:pt idx="1">
                  <c:v>Counts 2022</c:v>
                </c:pt>
                <c:pt idx="2">
                  <c:v>Counts 2023</c:v>
                </c:pt>
                <c:pt idx="3">
                  <c:v>Counts 2024</c:v>
                </c:pt>
                <c:pt idx="4">
                  <c:v>Total</c:v>
                </c:pt>
                <c:pt idx="5">
                  <c:v>Pct Count</c:v>
                </c:pt>
              </c:strCache>
            </c:strRef>
          </c:cat>
          <c:val>
            <c:numRef>
              <c:f>Sheet1!$B$24:$G$24</c:f>
              <c:numCache>
                <c:formatCode>General</c:formatCode>
                <c:ptCount val="6"/>
                <c:pt idx="0">
                  <c:v>5</c:v>
                </c:pt>
                <c:pt idx="1">
                  <c:v>5</c:v>
                </c:pt>
                <c:pt idx="2">
                  <c:v>18</c:v>
                </c:pt>
                <c:pt idx="3">
                  <c:v>12</c:v>
                </c:pt>
                <c:pt idx="4">
                  <c:v>40</c:v>
                </c:pt>
                <c:pt idx="5">
                  <c:v>7.2859744990892539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636-47CE-816F-C10CB378676D}"/>
            </c:ext>
          </c:extLst>
        </c:ser>
        <c:ser>
          <c:idx val="6"/>
          <c:order val="6"/>
          <c:tx>
            <c:strRef>
              <c:f>Sheet1!$A$25</c:f>
              <c:strCache>
                <c:ptCount val="1"/>
                <c:pt idx="0">
                  <c:v>Arbitrary Call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Sheet1!$B$18:$G$18</c:f>
              <c:strCache>
                <c:ptCount val="6"/>
                <c:pt idx="0">
                  <c:v>Counts 2021</c:v>
                </c:pt>
                <c:pt idx="1">
                  <c:v>Counts 2022</c:v>
                </c:pt>
                <c:pt idx="2">
                  <c:v>Counts 2023</c:v>
                </c:pt>
                <c:pt idx="3">
                  <c:v>Counts 2024</c:v>
                </c:pt>
                <c:pt idx="4">
                  <c:v>Total</c:v>
                </c:pt>
                <c:pt idx="5">
                  <c:v>Pct Count</c:v>
                </c:pt>
              </c:strCache>
            </c:strRef>
          </c:cat>
          <c:val>
            <c:numRef>
              <c:f>Sheet1!$B$25:$G$25</c:f>
              <c:numCache>
                <c:formatCode>General</c:formatCode>
                <c:ptCount val="6"/>
                <c:pt idx="0">
                  <c:v>0</c:v>
                </c:pt>
                <c:pt idx="1">
                  <c:v>8</c:v>
                </c:pt>
                <c:pt idx="2">
                  <c:v>9</c:v>
                </c:pt>
                <c:pt idx="3">
                  <c:v>9</c:v>
                </c:pt>
                <c:pt idx="4">
                  <c:v>26</c:v>
                </c:pt>
                <c:pt idx="5">
                  <c:v>4.7358834244080148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36-47CE-816F-C10CB378676D}"/>
            </c:ext>
          </c:extLst>
        </c:ser>
        <c:ser>
          <c:idx val="7"/>
          <c:order val="7"/>
          <c:tx>
            <c:strRef>
              <c:f>Sheet1!$A$26</c:f>
              <c:strCache>
                <c:ptCount val="1"/>
                <c:pt idx="0">
                  <c:v>Token Design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Sheet1!$B$18:$G$18</c:f>
              <c:strCache>
                <c:ptCount val="6"/>
                <c:pt idx="0">
                  <c:v>Counts 2021</c:v>
                </c:pt>
                <c:pt idx="1">
                  <c:v>Counts 2022</c:v>
                </c:pt>
                <c:pt idx="2">
                  <c:v>Counts 2023</c:v>
                </c:pt>
                <c:pt idx="3">
                  <c:v>Counts 2024</c:v>
                </c:pt>
                <c:pt idx="4">
                  <c:v>Total</c:v>
                </c:pt>
                <c:pt idx="5">
                  <c:v>Pct Count</c:v>
                </c:pt>
              </c:strCache>
            </c:strRef>
          </c:cat>
          <c:val>
            <c:numRef>
              <c:f>Sheet1!$B$26:$G$26</c:f>
              <c:numCache>
                <c:formatCode>General</c:formatCode>
                <c:ptCount val="6"/>
                <c:pt idx="0">
                  <c:v>3</c:v>
                </c:pt>
                <c:pt idx="1">
                  <c:v>4</c:v>
                </c:pt>
                <c:pt idx="2">
                  <c:v>18</c:v>
                </c:pt>
                <c:pt idx="3">
                  <c:v>3</c:v>
                </c:pt>
                <c:pt idx="4">
                  <c:v>28</c:v>
                </c:pt>
                <c:pt idx="5">
                  <c:v>5.1001821493624773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1636-47CE-816F-C10CB378676D}"/>
            </c:ext>
          </c:extLst>
        </c:ser>
        <c:ser>
          <c:idx val="8"/>
          <c:order val="8"/>
          <c:tx>
            <c:strRef>
              <c:f>Sheet1!$A$27</c:f>
              <c:strCache>
                <c:ptCount val="1"/>
                <c:pt idx="0">
                  <c:v>Slippage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Sheet1!$B$18:$G$18</c:f>
              <c:strCache>
                <c:ptCount val="6"/>
                <c:pt idx="0">
                  <c:v>Counts 2021</c:v>
                </c:pt>
                <c:pt idx="1">
                  <c:v>Counts 2022</c:v>
                </c:pt>
                <c:pt idx="2">
                  <c:v>Counts 2023</c:v>
                </c:pt>
                <c:pt idx="3">
                  <c:v>Counts 2024</c:v>
                </c:pt>
                <c:pt idx="4">
                  <c:v>Total</c:v>
                </c:pt>
                <c:pt idx="5">
                  <c:v>Pct Count</c:v>
                </c:pt>
              </c:strCache>
            </c:strRef>
          </c:cat>
          <c:val>
            <c:numRef>
              <c:f>Sheet1!$B$27:$G$27</c:f>
              <c:numCache>
                <c:formatCode>General</c:formatCode>
                <c:ptCount val="6"/>
                <c:pt idx="0">
                  <c:v>2</c:v>
                </c:pt>
                <c:pt idx="1">
                  <c:v>0</c:v>
                </c:pt>
                <c:pt idx="2">
                  <c:v>9</c:v>
                </c:pt>
                <c:pt idx="3">
                  <c:v>2</c:v>
                </c:pt>
                <c:pt idx="4">
                  <c:v>13</c:v>
                </c:pt>
                <c:pt idx="5">
                  <c:v>2.3679417122040074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636-47CE-816F-C10CB378676D}"/>
            </c:ext>
          </c:extLst>
        </c:ser>
        <c:ser>
          <c:idx val="9"/>
          <c:order val="9"/>
          <c:tx>
            <c:strRef>
              <c:f>Sheet1!$A$28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Sheet1!$B$18:$G$18</c:f>
              <c:strCache>
                <c:ptCount val="6"/>
                <c:pt idx="0">
                  <c:v>Counts 2021</c:v>
                </c:pt>
                <c:pt idx="1">
                  <c:v>Counts 2022</c:v>
                </c:pt>
                <c:pt idx="2">
                  <c:v>Counts 2023</c:v>
                </c:pt>
                <c:pt idx="3">
                  <c:v>Counts 2024</c:v>
                </c:pt>
                <c:pt idx="4">
                  <c:v>Total</c:v>
                </c:pt>
                <c:pt idx="5">
                  <c:v>Pct Count</c:v>
                </c:pt>
              </c:strCache>
            </c:strRef>
          </c:cat>
          <c:val>
            <c:numRef>
              <c:f>Sheet1!$B$28:$G$28</c:f>
              <c:numCache>
                <c:formatCode>General</c:formatCode>
                <c:ptCount val="6"/>
                <c:pt idx="0">
                  <c:v>0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15</c:v>
                </c:pt>
                <c:pt idx="5">
                  <c:v>2.7322404371584699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1636-47CE-816F-C10CB37867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54259487"/>
        <c:axId val="954260927"/>
      </c:barChart>
      <c:catAx>
        <c:axId val="9542594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954260927"/>
        <c:crosses val="autoZero"/>
        <c:auto val="1"/>
        <c:lblAlgn val="ctr"/>
        <c:lblOffset val="100"/>
        <c:noMultiLvlLbl val="0"/>
      </c:catAx>
      <c:valAx>
        <c:axId val="954260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9542594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H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H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61912</xdr:rowOff>
    </xdr:from>
    <xdr:to>
      <xdr:col>15</xdr:col>
      <xdr:colOff>304800</xdr:colOff>
      <xdr:row>14</xdr:row>
      <xdr:rowOff>138112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C3CA81A-3B5F-ED88-6B4F-7A20920E3B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228600</xdr:colOff>
      <xdr:row>15</xdr:row>
      <xdr:rowOff>128587</xdr:rowOff>
    </xdr:from>
    <xdr:to>
      <xdr:col>15</xdr:col>
      <xdr:colOff>533400</xdr:colOff>
      <xdr:row>30</xdr:row>
      <xdr:rowOff>14287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151B73C5-9140-B834-4D1C-7E04C72056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C9F8D-DC8D-40B5-94BA-B29760AD03CE}">
  <dimension ref="A1:W29"/>
  <sheetViews>
    <sheetView tabSelected="1" workbookViewId="0">
      <selection activeCell="W33" sqref="W33"/>
    </sheetView>
  </sheetViews>
  <sheetFormatPr defaultRowHeight="15" x14ac:dyDescent="0.25"/>
  <cols>
    <col min="18" max="18" width="13.7109375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17</v>
      </c>
      <c r="S1" t="s">
        <v>1</v>
      </c>
      <c r="T1" t="s">
        <v>2</v>
      </c>
      <c r="U1" t="s">
        <v>3</v>
      </c>
      <c r="V1" t="s">
        <v>4</v>
      </c>
      <c r="W1" t="s">
        <v>5</v>
      </c>
    </row>
    <row r="2" spans="1:23" x14ac:dyDescent="0.25">
      <c r="A2" t="s">
        <v>6</v>
      </c>
      <c r="B2">
        <v>62</v>
      </c>
      <c r="C2">
        <v>178</v>
      </c>
      <c r="D2">
        <v>223</v>
      </c>
      <c r="E2">
        <v>61</v>
      </c>
      <c r="F2">
        <f t="shared" ref="F2:F11" si="0">B2+C2+D2+E2</f>
        <v>524</v>
      </c>
      <c r="G2">
        <f>100*_xlfn.PERCENTOF(F2, F2:F11)</f>
        <v>31.354996604205994</v>
      </c>
      <c r="R2" t="s">
        <v>6</v>
      </c>
      <c r="S2">
        <f t="shared" ref="S2:V2" si="1">100*_xlfn.PERCENTOF(B2, B2:B11)</f>
        <v>13.771657041314972</v>
      </c>
      <c r="T2">
        <f t="shared" si="1"/>
        <v>44.614212383702281</v>
      </c>
      <c r="U2">
        <f t="shared" si="1"/>
        <v>43.425936383924224</v>
      </c>
      <c r="V2">
        <f t="shared" si="1"/>
        <v>19.773672489635029</v>
      </c>
      <c r="W2">
        <f>100*_xlfn.PERCENTOF(F2, F2:F11)</f>
        <v>31.354996604205994</v>
      </c>
    </row>
    <row r="3" spans="1:23" x14ac:dyDescent="0.25">
      <c r="A3" t="s">
        <v>7</v>
      </c>
      <c r="B3">
        <v>215</v>
      </c>
      <c r="C3">
        <v>48</v>
      </c>
      <c r="D3">
        <v>115</v>
      </c>
      <c r="E3">
        <v>44</v>
      </c>
      <c r="F3">
        <f t="shared" si="0"/>
        <v>422</v>
      </c>
      <c r="G3">
        <f>100*_xlfn.PERCENTOF(F3, F2:F11)</f>
        <v>25.251543066746045</v>
      </c>
      <c r="R3" t="s">
        <v>7</v>
      </c>
      <c r="S3">
        <f t="shared" ref="S3:V3" si="2">100*_xlfn.PERCENTOF(B3, B2:B11)</f>
        <v>47.756552643269664</v>
      </c>
      <c r="T3">
        <f t="shared" si="2"/>
        <v>12.030798845043311</v>
      </c>
      <c r="U3">
        <f t="shared" si="2"/>
        <v>22.394541184534912</v>
      </c>
      <c r="V3">
        <f t="shared" si="2"/>
        <v>14.262976877769532</v>
      </c>
      <c r="W3">
        <f>100*_xlfn.PERCENTOF(F3, F2:F11)</f>
        <v>25.251543066746045</v>
      </c>
    </row>
    <row r="4" spans="1:23" x14ac:dyDescent="0.25">
      <c r="A4" t="s">
        <v>8</v>
      </c>
      <c r="B4">
        <v>4</v>
      </c>
      <c r="C4">
        <v>26</v>
      </c>
      <c r="D4">
        <v>15.5</v>
      </c>
      <c r="E4">
        <v>15</v>
      </c>
      <c r="F4">
        <f t="shared" si="0"/>
        <v>60.5</v>
      </c>
      <c r="G4">
        <f>100*_xlfn.PERCENTOF(F4, F2:F11)</f>
        <v>3.6201856766306535</v>
      </c>
      <c r="R4" t="s">
        <v>8</v>
      </c>
      <c r="S4">
        <f t="shared" ref="S4:V4" si="3">100*_xlfn.PERCENTOF(B4, B2:B11)</f>
        <v>0.88849400266548195</v>
      </c>
      <c r="T4">
        <f t="shared" si="3"/>
        <v>6.5166827077317944</v>
      </c>
      <c r="U4">
        <f t="shared" si="3"/>
        <v>3.0183946813938363</v>
      </c>
      <c r="V4">
        <f t="shared" si="3"/>
        <v>4.8623784810577941</v>
      </c>
      <c r="W4">
        <f>100*_xlfn.PERCENTOF(F4, F2:F11)</f>
        <v>3.6201856766306535</v>
      </c>
    </row>
    <row r="5" spans="1:23" x14ac:dyDescent="0.25">
      <c r="A5" t="s">
        <v>9</v>
      </c>
      <c r="B5">
        <v>87</v>
      </c>
      <c r="C5">
        <v>103</v>
      </c>
      <c r="D5">
        <v>63</v>
      </c>
      <c r="E5">
        <v>31</v>
      </c>
      <c r="F5">
        <f t="shared" si="0"/>
        <v>284</v>
      </c>
      <c r="G5">
        <f>100*_xlfn.PERCENTOF(F5, F2:F11)</f>
        <v>16.993929457241418</v>
      </c>
      <c r="R5" t="s">
        <v>9</v>
      </c>
      <c r="S5">
        <f t="shared" ref="S5:V5" si="4">100*_xlfn.PERCENTOF(B5, B2:B11)</f>
        <v>19.324744557974235</v>
      </c>
      <c r="T5">
        <f t="shared" si="4"/>
        <v>25.816089188322106</v>
      </c>
      <c r="U5">
        <f t="shared" si="4"/>
        <v>12.268313866310431</v>
      </c>
      <c r="V5">
        <f t="shared" si="4"/>
        <v>10.048915527519442</v>
      </c>
      <c r="W5">
        <f>100*_xlfn.PERCENTOF(F5, F2:F11)</f>
        <v>16.993929457241418</v>
      </c>
    </row>
    <row r="6" spans="1:23" x14ac:dyDescent="0.25">
      <c r="A6" t="s">
        <v>10</v>
      </c>
      <c r="B6">
        <v>20</v>
      </c>
      <c r="C6">
        <v>1.9</v>
      </c>
      <c r="D6">
        <v>10.6</v>
      </c>
      <c r="E6">
        <v>109</v>
      </c>
      <c r="F6">
        <f t="shared" si="0"/>
        <v>141.5</v>
      </c>
      <c r="G6">
        <f>100*_xlfn.PERCENTOF(F6, F2:F11)</f>
        <v>8.4670458387311989</v>
      </c>
      <c r="R6" t="s">
        <v>10</v>
      </c>
      <c r="S6">
        <f t="shared" ref="S6:V6" si="5">100*_xlfn.PERCENTOF(B6, B2:B11)</f>
        <v>4.4424700133274104</v>
      </c>
      <c r="T6">
        <f t="shared" si="5"/>
        <v>0.47621912094963109</v>
      </c>
      <c r="U6">
        <f t="shared" si="5"/>
        <v>2.0641924917919137</v>
      </c>
      <c r="V6">
        <f t="shared" si="5"/>
        <v>35.333283629019974</v>
      </c>
      <c r="W6">
        <f>100*_xlfn.PERCENTOF(F6, F2:F11)</f>
        <v>8.4670458387311989</v>
      </c>
    </row>
    <row r="7" spans="1:23" x14ac:dyDescent="0.25">
      <c r="A7" t="s">
        <v>11</v>
      </c>
      <c r="B7">
        <v>51</v>
      </c>
      <c r="C7">
        <v>3.7</v>
      </c>
      <c r="D7">
        <v>65</v>
      </c>
      <c r="E7">
        <v>32</v>
      </c>
      <c r="F7">
        <f t="shared" si="0"/>
        <v>151.69999999999999</v>
      </c>
      <c r="G7">
        <f>100*_xlfn.PERCENTOF(F7, F2:F11)</f>
        <v>9.077391192477192</v>
      </c>
      <c r="R7" t="s">
        <v>11</v>
      </c>
      <c r="S7">
        <f t="shared" ref="S7:V7" si="6">100*_xlfn.PERCENTOF(B7, B2:B11)</f>
        <v>11.328298533984896</v>
      </c>
      <c r="T7">
        <f t="shared" si="6"/>
        <v>0.92737407763875523</v>
      </c>
      <c r="U7">
        <f t="shared" si="6"/>
        <v>12.657784147780603</v>
      </c>
      <c r="V7">
        <f t="shared" si="6"/>
        <v>10.373074092923295</v>
      </c>
      <c r="W7">
        <f>100*_xlfn.PERCENTOF(F7, F2:F11)</f>
        <v>9.077391192477192</v>
      </c>
    </row>
    <row r="8" spans="1:23" x14ac:dyDescent="0.25">
      <c r="A8" t="s">
        <v>12</v>
      </c>
      <c r="B8">
        <v>0</v>
      </c>
      <c r="C8">
        <v>4.3</v>
      </c>
      <c r="D8">
        <v>2.4</v>
      </c>
      <c r="E8">
        <v>9</v>
      </c>
      <c r="F8">
        <f t="shared" si="0"/>
        <v>15.7</v>
      </c>
      <c r="G8">
        <f>100*_xlfn.PERCENTOF(F8, F2:F11)</f>
        <v>0.93945314253059942</v>
      </c>
      <c r="R8" t="s">
        <v>12</v>
      </c>
      <c r="S8">
        <f t="shared" ref="S8:V8" si="7">100*_xlfn.PERCENTOF(B8, B2:B11)</f>
        <v>0</v>
      </c>
      <c r="T8">
        <f t="shared" si="7"/>
        <v>1.0777590632017966</v>
      </c>
      <c r="U8">
        <f t="shared" si="7"/>
        <v>0.46736433776420683</v>
      </c>
      <c r="V8">
        <f t="shared" si="7"/>
        <v>2.9174270886346765</v>
      </c>
      <c r="W8">
        <f>100*_xlfn.PERCENTOF(F8, F2:F11)</f>
        <v>0.93945314253059942</v>
      </c>
    </row>
    <row r="9" spans="1:23" x14ac:dyDescent="0.25">
      <c r="A9" t="s">
        <v>13</v>
      </c>
      <c r="B9">
        <v>0.2</v>
      </c>
      <c r="C9">
        <v>7.5999999999999998E-2</v>
      </c>
      <c r="D9">
        <v>0.35499999999999998</v>
      </c>
      <c r="E9">
        <v>5</v>
      </c>
      <c r="F9">
        <f t="shared" si="0"/>
        <v>5.6310000000000002</v>
      </c>
      <c r="G9">
        <f>100*_xlfn.PERCENTOF(F9, F2:F11)</f>
        <v>0.33694653793565643</v>
      </c>
      <c r="R9" t="s">
        <v>13</v>
      </c>
      <c r="S9">
        <f t="shared" ref="S9:V9" si="8">100*_xlfn.PERCENTOF(B9, B2:B11)</f>
        <v>4.4424700133274105E-2</v>
      </c>
      <c r="T9">
        <f t="shared" si="8"/>
        <v>1.9048764837985243E-2</v>
      </c>
      <c r="U9">
        <f t="shared" si="8"/>
        <v>6.9130974960955591E-2</v>
      </c>
      <c r="V9">
        <f t="shared" si="8"/>
        <v>1.6207928270192649</v>
      </c>
      <c r="W9">
        <f>100*_xlfn.PERCENTOF(F9, F2:F11)</f>
        <v>0.33694653793565643</v>
      </c>
    </row>
    <row r="10" spans="1:23" x14ac:dyDescent="0.25">
      <c r="A10" t="s">
        <v>14</v>
      </c>
      <c r="B10">
        <v>11</v>
      </c>
      <c r="C10">
        <v>0</v>
      </c>
      <c r="D10">
        <v>0.66300000000000003</v>
      </c>
      <c r="E10">
        <v>9.0999999999999998E-2</v>
      </c>
      <c r="F10">
        <f t="shared" si="0"/>
        <v>11.754</v>
      </c>
      <c r="G10">
        <f>100*_xlfn.PERCENTOF(F10, F2:F11)</f>
        <v>0.70333326352259007</v>
      </c>
      <c r="R10" t="s">
        <v>14</v>
      </c>
      <c r="S10">
        <f t="shared" ref="S10:V10" si="9">100*_xlfn.PERCENTOF(B10, B2:B11)</f>
        <v>2.4433585073300756</v>
      </c>
      <c r="T10">
        <f t="shared" si="9"/>
        <v>0</v>
      </c>
      <c r="U10">
        <f t="shared" si="9"/>
        <v>0.12910939830736215</v>
      </c>
      <c r="V10">
        <f t="shared" si="9"/>
        <v>2.9498429451750616E-2</v>
      </c>
      <c r="W10">
        <f>100*_xlfn.PERCENTOF(F10, F2:F11)</f>
        <v>0.70333326352259007</v>
      </c>
    </row>
    <row r="11" spans="1:23" x14ac:dyDescent="0.25">
      <c r="A11" t="s">
        <v>15</v>
      </c>
      <c r="B11">
        <v>0</v>
      </c>
      <c r="C11">
        <v>34</v>
      </c>
      <c r="D11">
        <v>18</v>
      </c>
      <c r="E11">
        <v>2.4</v>
      </c>
      <c r="F11">
        <f t="shared" si="0"/>
        <v>54.4</v>
      </c>
      <c r="G11">
        <f>100*_xlfn.PERCENTOF(F11, F2:F11)</f>
        <v>3.2551752199786379</v>
      </c>
      <c r="R11" t="s">
        <v>15</v>
      </c>
      <c r="S11">
        <f>100*_xlfn.PERCENTOF(B11, B2:B11)</f>
        <v>0</v>
      </c>
      <c r="T11">
        <f>100*_xlfn.PERCENTOF(C11, C2:C11)</f>
        <v>8.521815848572345</v>
      </c>
      <c r="U11">
        <f>100*_xlfn.PERCENTOF(D11, D2:D11)</f>
        <v>3.5052325332315517</v>
      </c>
      <c r="V11">
        <f>100*_xlfn.PERCENTOF(E11, E2:E11)</f>
        <v>0.77798055696924706</v>
      </c>
      <c r="W11">
        <f>100*_xlfn.PERCENTOF(F11, F2:F11)</f>
        <v>3.2551752199786379</v>
      </c>
    </row>
    <row r="12" spans="1:23" x14ac:dyDescent="0.25">
      <c r="F12">
        <f>SUM(F2:F11)</f>
        <v>1671.1850000000002</v>
      </c>
      <c r="G12">
        <f>SUM(G2:G11)</f>
        <v>99.999999999999986</v>
      </c>
    </row>
    <row r="18" spans="1:23" x14ac:dyDescent="0.25">
      <c r="A18" t="s">
        <v>0</v>
      </c>
      <c r="B18" t="s">
        <v>19</v>
      </c>
      <c r="C18" t="s">
        <v>20</v>
      </c>
      <c r="D18" t="s">
        <v>21</v>
      </c>
      <c r="E18" t="s">
        <v>22</v>
      </c>
      <c r="F18" t="s">
        <v>18</v>
      </c>
      <c r="G18" t="s">
        <v>16</v>
      </c>
      <c r="S18">
        <v>2021</v>
      </c>
      <c r="T18">
        <v>2022</v>
      </c>
      <c r="U18">
        <v>2023</v>
      </c>
      <c r="V18">
        <v>2024</v>
      </c>
      <c r="W18" t="s">
        <v>18</v>
      </c>
    </row>
    <row r="19" spans="1:23" x14ac:dyDescent="0.25">
      <c r="A19" t="s">
        <v>6</v>
      </c>
      <c r="B19">
        <v>7</v>
      </c>
      <c r="C19">
        <v>21</v>
      </c>
      <c r="D19">
        <v>65</v>
      </c>
      <c r="E19">
        <v>58</v>
      </c>
      <c r="F19">
        <f t="shared" ref="F19:F28" si="10">B19+C19+D19+E19</f>
        <v>151</v>
      </c>
      <c r="G19">
        <f>100*_xlfn.PERCENTOF(F19, F19:F28)</f>
        <v>27.504553734061933</v>
      </c>
      <c r="R19" t="s">
        <v>6</v>
      </c>
      <c r="S19">
        <f t="shared" ref="S19" si="11">100*_xlfn.PERCENTOF(B19, B19:B28)</f>
        <v>17.073170731707318</v>
      </c>
      <c r="T19">
        <f t="shared" ref="T19" si="12">100*_xlfn.PERCENTOF(C19, C19:C28)</f>
        <v>17.948717948717949</v>
      </c>
      <c r="U19">
        <f t="shared" ref="U19" si="13">100*_xlfn.PERCENTOF(D19, D19:D28)</f>
        <v>30.516431924882632</v>
      </c>
      <c r="V19">
        <f t="shared" ref="V19" si="14">100*_xlfn.PERCENTOF(E19, E19:E28)</f>
        <v>32.584269662921351</v>
      </c>
      <c r="W19">
        <f t="shared" ref="W19" si="15">100*_xlfn.PERCENTOF(F19, F19:F28)</f>
        <v>27.504553734061933</v>
      </c>
    </row>
    <row r="20" spans="1:23" x14ac:dyDescent="0.25">
      <c r="A20" t="s">
        <v>7</v>
      </c>
      <c r="B20">
        <v>10</v>
      </c>
      <c r="C20">
        <v>35</v>
      </c>
      <c r="D20">
        <v>42</v>
      </c>
      <c r="E20">
        <v>21</v>
      </c>
      <c r="F20">
        <f t="shared" si="10"/>
        <v>108</v>
      </c>
      <c r="G20">
        <f>100*_xlfn.PERCENTOF(F20, F19:F28)</f>
        <v>19.672131147540984</v>
      </c>
      <c r="R20" t="s">
        <v>7</v>
      </c>
      <c r="S20">
        <f>100*_xlfn.PERCENTOF(B20, B19:B28)</f>
        <v>24.390243902439025</v>
      </c>
      <c r="T20">
        <f t="shared" ref="T20" si="16">100*_xlfn.PERCENTOF(C20, C19:C28)</f>
        <v>29.914529914529915</v>
      </c>
      <c r="U20">
        <f t="shared" ref="U20" si="17">100*_xlfn.PERCENTOF(D20, D19:D28)</f>
        <v>19.718309859154928</v>
      </c>
      <c r="V20">
        <f t="shared" ref="V20" si="18">100*_xlfn.PERCENTOF(E20, E19:E28)</f>
        <v>11.797752808988763</v>
      </c>
      <c r="W20">
        <f>100*_xlfn.PERCENTOF(F20, F19:F28)</f>
        <v>19.672131147540984</v>
      </c>
    </row>
    <row r="21" spans="1:23" x14ac:dyDescent="0.25">
      <c r="A21" t="s">
        <v>8</v>
      </c>
      <c r="B21">
        <v>3</v>
      </c>
      <c r="C21">
        <v>16</v>
      </c>
      <c r="D21">
        <v>22</v>
      </c>
      <c r="E21">
        <v>35</v>
      </c>
      <c r="F21">
        <f t="shared" si="10"/>
        <v>76</v>
      </c>
      <c r="G21">
        <f>100*_xlfn.PERCENTOF(F21, F19:F28)</f>
        <v>13.843351548269581</v>
      </c>
      <c r="R21" t="s">
        <v>8</v>
      </c>
      <c r="S21">
        <f t="shared" ref="S21" si="19">100*_xlfn.PERCENTOF(B21, B19:B28)</f>
        <v>7.3170731707317067</v>
      </c>
      <c r="T21">
        <f t="shared" ref="T21" si="20">100*_xlfn.PERCENTOF(C21, C19:C28)</f>
        <v>13.675213675213676</v>
      </c>
      <c r="U21">
        <f t="shared" ref="U21" si="21">100*_xlfn.PERCENTOF(D21, D19:D28)</f>
        <v>10.328638497652582</v>
      </c>
      <c r="V21">
        <f t="shared" ref="V21" si="22">100*_xlfn.PERCENTOF(E21, E19:E28)</f>
        <v>19.662921348314608</v>
      </c>
      <c r="W21">
        <f>100*_xlfn.PERCENTOF(F21, F19:F28)</f>
        <v>13.843351548269581</v>
      </c>
    </row>
    <row r="22" spans="1:23" x14ac:dyDescent="0.25">
      <c r="A22" t="s">
        <v>9</v>
      </c>
      <c r="B22">
        <v>9</v>
      </c>
      <c r="C22">
        <v>13</v>
      </c>
      <c r="D22">
        <v>17</v>
      </c>
      <c r="E22">
        <v>15</v>
      </c>
      <c r="F22">
        <f t="shared" si="10"/>
        <v>54</v>
      </c>
      <c r="G22">
        <f>100*_xlfn.PERCENTOF(F22, F19:F28)</f>
        <v>9.8360655737704921</v>
      </c>
      <c r="R22" t="s">
        <v>9</v>
      </c>
      <c r="S22">
        <f t="shared" ref="S22" si="23">100*_xlfn.PERCENTOF(B22, B19:B28)</f>
        <v>21.951219512195124</v>
      </c>
      <c r="T22">
        <f t="shared" ref="T22" si="24">100*_xlfn.PERCENTOF(C22, C19:C28)</f>
        <v>11.111111111111111</v>
      </c>
      <c r="U22">
        <f t="shared" ref="U22" si="25">100*_xlfn.PERCENTOF(D22, D19:D28)</f>
        <v>7.981220657276995</v>
      </c>
      <c r="V22">
        <f t="shared" ref="V22" si="26">100*_xlfn.PERCENTOF(E22, E19:E28)</f>
        <v>8.4269662921348321</v>
      </c>
      <c r="W22">
        <f>100*_xlfn.PERCENTOF(F22, F19:F28)</f>
        <v>9.8360655737704921</v>
      </c>
    </row>
    <row r="23" spans="1:23" x14ac:dyDescent="0.25">
      <c r="A23" t="s">
        <v>10</v>
      </c>
      <c r="B23">
        <v>2</v>
      </c>
      <c r="C23">
        <v>10</v>
      </c>
      <c r="D23">
        <v>8</v>
      </c>
      <c r="E23">
        <v>18</v>
      </c>
      <c r="F23">
        <f t="shared" si="10"/>
        <v>38</v>
      </c>
      <c r="G23">
        <f>100*_xlfn.PERCENTOF(F23, F19:F28)</f>
        <v>6.9216757741347905</v>
      </c>
      <c r="R23" t="s">
        <v>10</v>
      </c>
      <c r="S23">
        <f t="shared" ref="S23" si="27">100*_xlfn.PERCENTOF(B23, B19:B28)</f>
        <v>4.8780487804878048</v>
      </c>
      <c r="T23">
        <f t="shared" ref="T23" si="28">100*_xlfn.PERCENTOF(C23, C19:C28)</f>
        <v>8.5470085470085468</v>
      </c>
      <c r="U23">
        <f t="shared" ref="U23" si="29">100*_xlfn.PERCENTOF(D23, D19:D28)</f>
        <v>3.755868544600939</v>
      </c>
      <c r="V23">
        <f t="shared" ref="V23" si="30">100*_xlfn.PERCENTOF(E23, E19:E28)</f>
        <v>10.112359550561797</v>
      </c>
      <c r="W23">
        <f>100*_xlfn.PERCENTOF(F23, F19:F28)</f>
        <v>6.9216757741347905</v>
      </c>
    </row>
    <row r="24" spans="1:23" x14ac:dyDescent="0.25">
      <c r="A24" t="s">
        <v>11</v>
      </c>
      <c r="B24">
        <v>5</v>
      </c>
      <c r="C24">
        <v>5</v>
      </c>
      <c r="D24">
        <v>18</v>
      </c>
      <c r="E24">
        <v>12</v>
      </c>
      <c r="F24">
        <f t="shared" si="10"/>
        <v>40</v>
      </c>
      <c r="G24">
        <f>100*_xlfn.PERCENTOF(F24, F19:F28)</f>
        <v>7.2859744990892539</v>
      </c>
      <c r="R24" t="s">
        <v>11</v>
      </c>
      <c r="S24">
        <f t="shared" ref="S24" si="31">100*_xlfn.PERCENTOF(B24, B19:B28)</f>
        <v>12.195121951219512</v>
      </c>
      <c r="T24">
        <f t="shared" ref="T24" si="32">100*_xlfn.PERCENTOF(C24, C19:C28)</f>
        <v>4.2735042735042734</v>
      </c>
      <c r="U24">
        <f t="shared" ref="U24" si="33">100*_xlfn.PERCENTOF(D24, D19:D28)</f>
        <v>8.4507042253521121</v>
      </c>
      <c r="V24">
        <f t="shared" ref="V24" si="34">100*_xlfn.PERCENTOF(E24, E19:E28)</f>
        <v>6.7415730337078648</v>
      </c>
      <c r="W24">
        <f>100*_xlfn.PERCENTOF(F24, F19:F28)</f>
        <v>7.2859744990892539</v>
      </c>
    </row>
    <row r="25" spans="1:23" x14ac:dyDescent="0.25">
      <c r="A25" t="s">
        <v>12</v>
      </c>
      <c r="B25">
        <v>0</v>
      </c>
      <c r="C25">
        <v>8</v>
      </c>
      <c r="D25">
        <v>9</v>
      </c>
      <c r="E25">
        <v>9</v>
      </c>
      <c r="F25">
        <f t="shared" si="10"/>
        <v>26</v>
      </c>
      <c r="G25">
        <f>100*_xlfn.PERCENTOF(F25, F19:F28)</f>
        <v>4.7358834244080148</v>
      </c>
      <c r="R25" t="s">
        <v>12</v>
      </c>
      <c r="S25">
        <f t="shared" ref="S25" si="35">100*_xlfn.PERCENTOF(B25, B19:B28)</f>
        <v>0</v>
      </c>
      <c r="T25">
        <f t="shared" ref="T25" si="36">100*_xlfn.PERCENTOF(C25, C19:C28)</f>
        <v>6.8376068376068382</v>
      </c>
      <c r="U25">
        <f t="shared" ref="U25" si="37">100*_xlfn.PERCENTOF(D25, D19:D28)</f>
        <v>4.225352112676056</v>
      </c>
      <c r="V25">
        <f t="shared" ref="V25" si="38">100*_xlfn.PERCENTOF(E25, E19:E28)</f>
        <v>5.0561797752808983</v>
      </c>
      <c r="W25">
        <f>100*_xlfn.PERCENTOF(F25, F19:F28)</f>
        <v>4.7358834244080148</v>
      </c>
    </row>
    <row r="26" spans="1:23" x14ac:dyDescent="0.25">
      <c r="A26" t="s">
        <v>13</v>
      </c>
      <c r="B26">
        <v>3</v>
      </c>
      <c r="C26">
        <v>4</v>
      </c>
      <c r="D26">
        <v>18</v>
      </c>
      <c r="E26">
        <v>3</v>
      </c>
      <c r="F26">
        <f t="shared" si="10"/>
        <v>28</v>
      </c>
      <c r="G26">
        <f>100*_xlfn.PERCENTOF(F26, F19:F28)</f>
        <v>5.1001821493624773</v>
      </c>
      <c r="R26" t="s">
        <v>13</v>
      </c>
      <c r="S26">
        <f t="shared" ref="S26" si="39">100*_xlfn.PERCENTOF(B26, B19:B28)</f>
        <v>7.3170731707317067</v>
      </c>
      <c r="T26">
        <f t="shared" ref="T26" si="40">100*_xlfn.PERCENTOF(C26, C19:C28)</f>
        <v>3.4188034188034191</v>
      </c>
      <c r="U26">
        <f t="shared" ref="U26" si="41">100*_xlfn.PERCENTOF(D26, D19:D28)</f>
        <v>8.4507042253521121</v>
      </c>
      <c r="V26">
        <f t="shared" ref="V26" si="42">100*_xlfn.PERCENTOF(E26, E19:E28)</f>
        <v>1.6853932584269662</v>
      </c>
      <c r="W26">
        <f>100*_xlfn.PERCENTOF(F26, F19:F28)</f>
        <v>5.1001821493624773</v>
      </c>
    </row>
    <row r="27" spans="1:23" x14ac:dyDescent="0.25">
      <c r="A27" t="s">
        <v>14</v>
      </c>
      <c r="B27">
        <v>2</v>
      </c>
      <c r="C27">
        <v>0</v>
      </c>
      <c r="D27">
        <v>9</v>
      </c>
      <c r="E27">
        <v>2</v>
      </c>
      <c r="F27">
        <f t="shared" si="10"/>
        <v>13</v>
      </c>
      <c r="G27">
        <f>100*_xlfn.PERCENTOF(F27, F19:F28)</f>
        <v>2.3679417122040074</v>
      </c>
      <c r="R27" t="s">
        <v>14</v>
      </c>
      <c r="S27">
        <f t="shared" ref="S27" si="43">100*_xlfn.PERCENTOF(B27, B19:B28)</f>
        <v>4.8780487804878048</v>
      </c>
      <c r="T27">
        <f t="shared" ref="T27" si="44">100*_xlfn.PERCENTOF(C27, C19:C28)</f>
        <v>0</v>
      </c>
      <c r="U27">
        <f t="shared" ref="U27" si="45">100*_xlfn.PERCENTOF(D27, D19:D28)</f>
        <v>4.225352112676056</v>
      </c>
      <c r="V27">
        <f t="shared" ref="V27" si="46">100*_xlfn.PERCENTOF(E27, E19:E28)</f>
        <v>1.1235955056179776</v>
      </c>
      <c r="W27">
        <f>100*_xlfn.PERCENTOF(F27, F19:F28)</f>
        <v>2.3679417122040074</v>
      </c>
    </row>
    <row r="28" spans="1:23" x14ac:dyDescent="0.25">
      <c r="A28" t="s">
        <v>15</v>
      </c>
      <c r="B28">
        <v>0</v>
      </c>
      <c r="C28">
        <v>5</v>
      </c>
      <c r="D28">
        <v>5</v>
      </c>
      <c r="E28">
        <v>5</v>
      </c>
      <c r="F28">
        <f t="shared" si="10"/>
        <v>15</v>
      </c>
      <c r="G28">
        <f>100*_xlfn.PERCENTOF(F28, F19:F28)</f>
        <v>2.7322404371584699</v>
      </c>
      <c r="R28" t="s">
        <v>15</v>
      </c>
      <c r="S28">
        <f>100*_xlfn.PERCENTOF(B28, B19:B28)</f>
        <v>0</v>
      </c>
      <c r="T28">
        <f>100*_xlfn.PERCENTOF(C28, C19:C28)</f>
        <v>4.2735042735042734</v>
      </c>
      <c r="U28">
        <f>100*_xlfn.PERCENTOF(D28, D19:D28)</f>
        <v>2.3474178403755865</v>
      </c>
      <c r="V28">
        <f>100*_xlfn.PERCENTOF(E28, E19:E28)</f>
        <v>2.8089887640449436</v>
      </c>
      <c r="W28">
        <f>100*_xlfn.PERCENTOF(F28, F19:F28)</f>
        <v>2.7322404371584699</v>
      </c>
    </row>
    <row r="29" spans="1:23" x14ac:dyDescent="0.25">
      <c r="F29">
        <f>SUM(F19:F28)</f>
        <v>549</v>
      </c>
      <c r="G29">
        <f>SUM(G19:G28)</f>
        <v>99.999999999999986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Richards  Tynan</dc:creator>
  <cp:lastModifiedBy>Richards  Tynan</cp:lastModifiedBy>
  <dcterms:created xsi:type="dcterms:W3CDTF">2026-03-25T14:45:22Z</dcterms:created>
  <dcterms:modified xsi:type="dcterms:W3CDTF">2026-04-07T09:04:20Z</dcterms:modified>
</cp:coreProperties>
</file>
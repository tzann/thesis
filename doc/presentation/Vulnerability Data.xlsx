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nan\Documents\ETH\repos\thesis\doc\presentation\"/>
    </mc:Choice>
  </mc:AlternateContent>
  <xr:revisionPtr revIDLastSave="0" documentId="8_{1439248E-DC54-4CE1-89DA-2F73F931B6FF}" xr6:coauthVersionLast="47" xr6:coauthVersionMax="47" xr10:uidLastSave="{00000000-0000-0000-0000-000000000000}"/>
  <bookViews>
    <workbookView xWindow="-120" yWindow="-120" windowWidth="38640" windowHeight="21240" xr2:uid="{03F1912C-B5FA-4CD4-A6A8-A41878F5EC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29" i="1" s="1"/>
  <c r="F27" i="1"/>
  <c r="F26" i="1"/>
  <c r="F25" i="1"/>
  <c r="F24" i="1"/>
  <c r="F23" i="1"/>
  <c r="F22" i="1"/>
  <c r="F21" i="1"/>
  <c r="F20" i="1"/>
  <c r="F19" i="1"/>
  <c r="F3" i="1"/>
  <c r="F4" i="1"/>
  <c r="F5" i="1"/>
  <c r="F6" i="1"/>
  <c r="F7" i="1"/>
  <c r="F8" i="1"/>
  <c r="F9" i="1"/>
  <c r="F10" i="1"/>
  <c r="F11" i="1"/>
  <c r="F2" i="1"/>
  <c r="G11" i="1" l="1"/>
  <c r="G26" i="1"/>
  <c r="G10" i="1"/>
  <c r="G25" i="1"/>
  <c r="G24" i="1"/>
  <c r="G8" i="1"/>
  <c r="G4" i="1"/>
  <c r="G7" i="1"/>
  <c r="G27" i="1"/>
  <c r="G28" i="1"/>
  <c r="F12" i="1"/>
  <c r="G6" i="1"/>
  <c r="G9" i="1"/>
  <c r="G3" i="1"/>
  <c r="G22" i="1"/>
  <c r="G2" i="1"/>
  <c r="G20" i="1"/>
  <c r="G19" i="1"/>
  <c r="G21" i="1"/>
  <c r="G23" i="1"/>
  <c r="G5" i="1"/>
  <c r="G29" i="1" l="1"/>
  <c r="G12" i="1"/>
</calcChain>
</file>

<file path=xl/sharedStrings.xml><?xml version="1.0" encoding="utf-8"?>
<sst xmlns="http://schemas.openxmlformats.org/spreadsheetml/2006/main" count="30" uniqueCount="19">
  <si>
    <t>Category</t>
  </si>
  <si>
    <t>Losses 2021</t>
  </si>
  <si>
    <t>Losses 2022</t>
  </si>
  <si>
    <t>Losses 2023</t>
  </si>
  <si>
    <t>Losses 2024</t>
  </si>
  <si>
    <t>Total Losses</t>
  </si>
  <si>
    <t>Business Logic</t>
  </si>
  <si>
    <t>Price Manipulation</t>
  </si>
  <si>
    <t>Access Control</t>
  </si>
  <si>
    <t>Reentrancy</t>
  </si>
  <si>
    <t>Input Validation</t>
  </si>
  <si>
    <t>Precision</t>
  </si>
  <si>
    <t>Arbitrary Call</t>
  </si>
  <si>
    <t>Token Design</t>
  </si>
  <si>
    <t>Slippage</t>
  </si>
  <si>
    <t>Other</t>
  </si>
  <si>
    <t>Pct Count</t>
  </si>
  <si>
    <t>Pct Losses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</si>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</sst>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Business Logic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62</c:v>
                </c:pt>
                <c:pt idx="1">
                  <c:v>178</c:v>
                </c:pt>
                <c:pt idx="2">
                  <c:v>223</c:v>
                </c:pt>
                <c:pt idx="3">
                  <c:v>61</c:v>
                </c:pt>
                <c:pt idx="4">
                  <c:v>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7-4877-B3BF-325EFD0E9D7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Price Manipulation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215</c:v>
                </c:pt>
                <c:pt idx="1">
                  <c:v>48</c:v>
                </c:pt>
                <c:pt idx="2">
                  <c:v>115</c:v>
                </c:pt>
                <c:pt idx="3">
                  <c:v>44</c:v>
                </c:pt>
                <c:pt idx="4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27-4877-B3BF-325EFD0E9D7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Access Control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</c:v>
                </c:pt>
                <c:pt idx="1">
                  <c:v>26</c:v>
                </c:pt>
                <c:pt idx="2">
                  <c:v>15.5</c:v>
                </c:pt>
                <c:pt idx="3">
                  <c:v>15</c:v>
                </c:pt>
                <c:pt idx="4">
                  <c:v>60.5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27-4877-B3BF-325EFD0E9D7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Reentrancy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87</c:v>
                </c:pt>
                <c:pt idx="1">
                  <c:v>103</c:v>
                </c:pt>
                <c:pt idx="2">
                  <c:v>63</c:v>
                </c:pt>
                <c:pt idx="3">
                  <c:v>31</c:v>
                </c:pt>
                <c:pt idx="4">
                  <c:v>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27-4877-B3BF-325EFD0E9D7C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Input Validation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20</c:v>
                </c:pt>
                <c:pt idx="1">
                  <c:v>1.9</c:v>
                </c:pt>
                <c:pt idx="2">
                  <c:v>10.6</c:v>
                </c:pt>
                <c:pt idx="3">
                  <c:v>109</c:v>
                </c:pt>
                <c:pt idx="4">
                  <c:v>141.5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27-4877-B3BF-325EFD0E9D7C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51</c:v>
                </c:pt>
                <c:pt idx="1">
                  <c:v>3.7</c:v>
                </c:pt>
                <c:pt idx="2">
                  <c:v>65</c:v>
                </c:pt>
                <c:pt idx="3">
                  <c:v>32</c:v>
                </c:pt>
                <c:pt idx="4">
                  <c:v>151.69999999999999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27-4877-B3BF-325EFD0E9D7C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Arbitrary Call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0</c:v>
                </c:pt>
                <c:pt idx="1">
                  <c:v>4.3</c:v>
                </c:pt>
                <c:pt idx="2">
                  <c:v>2.4</c:v>
                </c:pt>
                <c:pt idx="3">
                  <c:v>9</c:v>
                </c:pt>
                <c:pt idx="4">
                  <c:v>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27-4877-B3BF-325EFD0E9D7C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Token Design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Sheet1!$B$9:$F$9</c:f>
              <c:numCache>
                <c:formatCode>General</c:formatCode>
                <c:ptCount val="5"/>
                <c:pt idx="0">
                  <c:v>0.2</c:v>
                </c:pt>
                <c:pt idx="1">
                  <c:v>7.5999999999999998E-2</c:v>
                </c:pt>
                <c:pt idx="2">
                  <c:v>0.35499999999999998</c:v>
                </c:pt>
                <c:pt idx="3">
                  <c:v>5</c:v>
                </c:pt>
                <c:pt idx="4">
                  <c:v>5.6310000000000002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327-4877-B3BF-325EFD0E9D7C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Slippage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Sheet1!$B$10:$F$10</c:f>
              <c:numCache>
                <c:formatCode>General</c:formatCode>
                <c:ptCount val="5"/>
                <c:pt idx="0">
                  <c:v>11</c:v>
                </c:pt>
                <c:pt idx="1">
                  <c:v>0</c:v>
                </c:pt>
                <c:pt idx="2">
                  <c:v>0.66300000000000003</c:v>
                </c:pt>
                <c:pt idx="3">
                  <c:v>9.0999999999999998E-2</c:v>
                </c:pt>
                <c:pt idx="4">
                  <c:v>11.754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27-4877-B3BF-325EFD0E9D7C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Sheet1!$B$11:$F$11</c:f>
              <c:numCache>
                <c:formatCode>General</c:formatCode>
                <c:ptCount val="5"/>
                <c:pt idx="0">
                  <c:v>0</c:v>
                </c:pt>
                <c:pt idx="1">
                  <c:v>34</c:v>
                </c:pt>
                <c:pt idx="2">
                  <c:v>18</c:v>
                </c:pt>
                <c:pt idx="3">
                  <c:v>2.4</c:v>
                </c:pt>
                <c:pt idx="4">
                  <c:v>54.4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327-4877-B3BF-325EFD0E9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4210047"/>
        <c:axId val="954191807"/>
      </c:barChart>
      <c:catAx>
        <c:axId val="95421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191807"/>
        <c:crosses val="autoZero"/>
        <c:auto val="1"/>
        <c:lblAlgn val="ctr"/>
        <c:lblOffset val="100"/>
        <c:noMultiLvlLbl val="0"/>
      </c:catAx>
      <c:valAx>
        <c:axId val="95419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Sheet1!$A$19</c:f>
              <c:strCache>
                <c:ptCount val="1"/>
                <c:pt idx="0">
                  <c:v>Business Logic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Sheet1!$B$19:$G$19</c:f>
              <c:numCache>
                <c:formatCode>General</c:formatCode>
                <c:ptCount val="6"/>
                <c:pt idx="0">
                  <c:v>7</c:v>
                </c:pt>
                <c:pt idx="1">
                  <c:v>21</c:v>
                </c:pt>
                <c:pt idx="2">
                  <c:v>65</c:v>
                </c:pt>
                <c:pt idx="3">
                  <c:v>58</c:v>
                </c:pt>
                <c:pt idx="4">
                  <c:v>151</c:v>
                </c:pt>
                <c:pt idx="5">
                  <c:v>27.504553734061933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7CE-816F-C10CB378676D}"/>
            </c:ext>
          </c:extLst>
        </c:ser>
        <c:ser>
          <c:idx val="1"/>
          <c:order val="1"/>
          <c:tx>
            <c:strRef>
              <c:f>Sheet1!$A$20</c:f>
              <c:strCache>
                <c:ptCount val="1"/>
                <c:pt idx="0">
                  <c:v>Price Manipulation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Sheet1!$B$20:$G$20</c:f>
              <c:numCache>
                <c:formatCode>General</c:formatCode>
                <c:ptCount val="6"/>
                <c:pt idx="0">
                  <c:v>10</c:v>
                </c:pt>
                <c:pt idx="1">
                  <c:v>35</c:v>
                </c:pt>
                <c:pt idx="2">
                  <c:v>42</c:v>
                </c:pt>
                <c:pt idx="3">
                  <c:v>21</c:v>
                </c:pt>
                <c:pt idx="4">
                  <c:v>108</c:v>
                </c:pt>
                <c:pt idx="5">
                  <c:v>19.672131147540984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7CE-816F-C10CB378676D}"/>
            </c:ext>
          </c:extLst>
        </c:ser>
        <c:ser>
          <c:idx val="2"/>
          <c:order val="2"/>
          <c:tx>
            <c:strRef>
              <c:f>Sheet1!$A$21</c:f>
              <c:strCache>
                <c:ptCount val="1"/>
                <c:pt idx="0">
                  <c:v>Access Control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Sheet1!$B$21:$G$21</c:f>
              <c:numCache>
                <c:formatCode>General</c:formatCode>
                <c:ptCount val="6"/>
                <c:pt idx="0">
                  <c:v>3</c:v>
                </c:pt>
                <c:pt idx="1">
                  <c:v>16</c:v>
                </c:pt>
                <c:pt idx="2">
                  <c:v>22</c:v>
                </c:pt>
                <c:pt idx="3">
                  <c:v>35</c:v>
                </c:pt>
                <c:pt idx="4">
                  <c:v>76</c:v>
                </c:pt>
                <c:pt idx="5">
                  <c:v>13.843351548269581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6-47CE-816F-C10CB378676D}"/>
            </c:ext>
          </c:extLst>
        </c:ser>
        <c:ser>
          <c:idx val="3"/>
          <c:order val="3"/>
          <c:tx>
            <c:strRef>
              <c:f>Sheet1!$A$22</c:f>
              <c:strCache>
                <c:ptCount val="1"/>
                <c:pt idx="0">
                  <c:v>Reentrancy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Sheet1!$B$22:$G$22</c:f>
              <c:numCache>
                <c:formatCode>General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17</c:v>
                </c:pt>
                <c:pt idx="3">
                  <c:v>15</c:v>
                </c:pt>
                <c:pt idx="4">
                  <c:v>54</c:v>
                </c:pt>
                <c:pt idx="5">
                  <c:v>9.8360655737704921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6-47CE-816F-C10CB378676D}"/>
            </c:ext>
          </c:extLst>
        </c:ser>
        <c:ser>
          <c:idx val="4"/>
          <c:order val="4"/>
          <c:tx>
            <c:strRef>
              <c:f>Sheet1!$A$23</c:f>
              <c:strCache>
                <c:ptCount val="1"/>
                <c:pt idx="0">
                  <c:v>Input Validation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Sheet1!$B$23:$G$23</c:f>
              <c:numCache>
                <c:formatCode>General</c:formatCode>
                <c:ptCount val="6"/>
                <c:pt idx="0">
                  <c:v>2</c:v>
                </c:pt>
                <c:pt idx="1">
                  <c:v>10</c:v>
                </c:pt>
                <c:pt idx="2">
                  <c:v>8</c:v>
                </c:pt>
                <c:pt idx="3">
                  <c:v>18</c:v>
                </c:pt>
                <c:pt idx="4">
                  <c:v>38</c:v>
                </c:pt>
                <c:pt idx="5">
                  <c:v>6.9216757741347905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6-47CE-816F-C10CB378676D}"/>
            </c:ext>
          </c:extLst>
        </c:ser>
        <c:ser>
          <c:idx val="5"/>
          <c:order val="5"/>
          <c:tx>
            <c:strRef>
              <c:f>Sheet1!$A$24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Sheet1!$B$24:$G$24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12</c:v>
                </c:pt>
                <c:pt idx="4">
                  <c:v>40</c:v>
                </c:pt>
                <c:pt idx="5">
                  <c:v>7.2859744990892539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6-47CE-816F-C10CB378676D}"/>
            </c:ext>
          </c:extLst>
        </c:ser>
        <c:ser>
          <c:idx val="6"/>
          <c:order val="6"/>
          <c:tx>
            <c:strRef>
              <c:f>Sheet1!$A$25</c:f>
              <c:strCache>
                <c:ptCount val="1"/>
                <c:pt idx="0">
                  <c:v>Arbitrary Call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Sheet1!$B$25:$G$25</c:f>
              <c:numCache>
                <c:formatCode>General</c:formatCode>
                <c:ptCount val="6"/>
                <c:pt idx="0">
                  <c:v>0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26</c:v>
                </c:pt>
                <c:pt idx="5">
                  <c:v>4.7358834244080148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6-47CE-816F-C10CB378676D}"/>
            </c:ext>
          </c:extLst>
        </c:ser>
        <c:ser>
          <c:idx val="7"/>
          <c:order val="7"/>
          <c:tx>
            <c:strRef>
              <c:f>Sheet1!$A$26</c:f>
              <c:strCache>
                <c:ptCount val="1"/>
                <c:pt idx="0">
                  <c:v>Token Design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Sheet1!$B$26:$G$26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18</c:v>
                </c:pt>
                <c:pt idx="3">
                  <c:v>3</c:v>
                </c:pt>
                <c:pt idx="4">
                  <c:v>28</c:v>
                </c:pt>
                <c:pt idx="5">
                  <c:v>5.1001821493624773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6-47CE-816F-C10CB378676D}"/>
            </c:ext>
          </c:extLst>
        </c:ser>
        <c:ser>
          <c:idx val="8"/>
          <c:order val="8"/>
          <c:tx>
            <c:strRef>
              <c:f>Sheet1!$A$27</c:f>
              <c:strCache>
                <c:ptCount val="1"/>
                <c:pt idx="0">
                  <c:v>Slippage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Sheet1!$B$27:$G$27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9</c:v>
                </c:pt>
                <c:pt idx="3">
                  <c:v>2</c:v>
                </c:pt>
                <c:pt idx="4">
                  <c:v>13</c:v>
                </c:pt>
                <c:pt idx="5">
                  <c:v>2.3679417122040074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6-47CE-816F-C10CB378676D}"/>
            </c:ext>
          </c:extLst>
        </c:ser>
        <c:ser>
          <c:idx val="9"/>
          <c:order val="9"/>
          <c:tx>
            <c:strRef>
              <c:f>Sheet1!$A$28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Sheet1!$B$28:$G$28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15</c:v>
                </c:pt>
                <c:pt idx="5">
                  <c:v>2.7322404371584699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6-47CE-816F-C10CB378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4259487"/>
        <c:axId val="954260927"/>
      </c:barChart>
      <c:catAx>
        <c:axId val="95425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60927"/>
        <c:crosses val="autoZero"/>
        <c:auto val="1"/>
        <c:lblAlgn val="ctr"/>
        <c:lblOffset val="100"/>
        <c:noMultiLvlLbl val="0"/>
      </c:catAx>
      <c:valAx>
        <c:axId val="9542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5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61912</xdr:rowOff>
    </xdr:from>
    <xdr:to>
      <xdr:col>15</xdr:col>
      <xdr:colOff>304800</xdr:colOff>
      <xdr:row>14</xdr:row>
      <xdr:rowOff>138112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3CA81A-3B5F-ED88-6B4F-7A20920E3B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15</xdr:row>
      <xdr:rowOff>128587</xdr:rowOff>
    </xdr:from>
    <xdr:to>
      <xdr:col>15</xdr:col>
      <xdr:colOff>533400</xdr:colOff>
      <xdr:row>30</xdr:row>
      <xdr:rowOff>14287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51B73C5-9140-B834-4D1C-7E04C7205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C9F8D-DC8D-40B5-94BA-B29760AD03CE}">
  <dimension ref="A1:G29"/>
  <sheetViews>
    <sheetView tabSelected="1" workbookViewId="0">
      <selection activeCell="V30" sqref="V30"/>
    </sheetView>
  </sheetViews>
  <sheetFormatPr defaultRowHeight="15" x14ac:dyDescent="0.25"/>
  <cols>
    <col min="18" max="18" width="13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17</v>
      </c>
    </row>
    <row r="2" spans="1:7" x14ac:dyDescent="0.25">
      <c r="A2" t="s">
        <v>6</v>
      </c>
      <c r="B2">
        <v>62</v>
      </c>
      <c r="C2">
        <v>178</v>
      </c>
      <c r="D2">
        <v>223</v>
      </c>
      <c r="E2">
        <v>61</v>
      </c>
      <c r="F2">
        <f>B2+C2+D2+E2</f>
        <v>524</v>
      </c>
      <c r="G2">
        <f>100*_xlfn.PERCENTOF(F2, F2:F11)</f>
        <v>31.354996604205994</v>
      </c>
    </row>
    <row r="3" spans="1:7" x14ac:dyDescent="0.25">
      <c r="A3" t="s">
        <v>7</v>
      </c>
      <c r="B3">
        <v>215</v>
      </c>
      <c r="C3">
        <v>48</v>
      </c>
      <c r="D3">
        <v>115</v>
      </c>
      <c r="E3">
        <v>44</v>
      </c>
      <c r="F3">
        <f>B3+C3+D3+E3</f>
        <v>422</v>
      </c>
      <c r="G3">
        <f>100*_xlfn.PERCENTOF(F3, F2:F11)</f>
        <v>25.251543066746045</v>
      </c>
    </row>
    <row r="4" spans="1:7" x14ac:dyDescent="0.25">
      <c r="A4" t="s">
        <v>8</v>
      </c>
      <c r="B4">
        <v>4</v>
      </c>
      <c r="C4">
        <v>26</v>
      </c>
      <c r="D4">
        <v>15.5</v>
      </c>
      <c r="E4">
        <v>15</v>
      </c>
      <c r="F4">
        <f>B4+C4+D4+E4</f>
        <v>60.5</v>
      </c>
      <c r="G4">
        <f>100*_xlfn.PERCENTOF(F4, F2:F11)</f>
        <v>3.6201856766306535</v>
      </c>
    </row>
    <row r="5" spans="1:7" x14ac:dyDescent="0.25">
      <c r="A5" t="s">
        <v>9</v>
      </c>
      <c r="B5">
        <v>87</v>
      </c>
      <c r="C5">
        <v>103</v>
      </c>
      <c r="D5">
        <v>63</v>
      </c>
      <c r="E5">
        <v>31</v>
      </c>
      <c r="F5">
        <f>B5+C5+D5+E5</f>
        <v>284</v>
      </c>
      <c r="G5">
        <f>100*_xlfn.PERCENTOF(F5, F2:F11)</f>
        <v>16.993929457241418</v>
      </c>
    </row>
    <row r="6" spans="1:7" x14ac:dyDescent="0.25">
      <c r="A6" t="s">
        <v>10</v>
      </c>
      <c r="B6">
        <v>20</v>
      </c>
      <c r="C6">
        <v>1.9</v>
      </c>
      <c r="D6">
        <v>10.6</v>
      </c>
      <c r="E6">
        <v>109</v>
      </c>
      <c r="F6">
        <f>B6+C6+D6+E6</f>
        <v>141.5</v>
      </c>
      <c r="G6">
        <f>100*_xlfn.PERCENTOF(F6, F2:F11)</f>
        <v>8.4670458387311989</v>
      </c>
    </row>
    <row r="7" spans="1:7" x14ac:dyDescent="0.25">
      <c r="A7" t="s">
        <v>11</v>
      </c>
      <c r="B7">
        <v>51</v>
      </c>
      <c r="C7">
        <v>3.7</v>
      </c>
      <c r="D7">
        <v>65</v>
      </c>
      <c r="E7">
        <v>32</v>
      </c>
      <c r="F7">
        <f>B7+C7+D7+E7</f>
        <v>151.69999999999999</v>
      </c>
      <c r="G7">
        <f>100*_xlfn.PERCENTOF(F7, F2:F11)</f>
        <v>9.077391192477192</v>
      </c>
    </row>
    <row r="8" spans="1:7" x14ac:dyDescent="0.25">
      <c r="A8" t="s">
        <v>12</v>
      </c>
      <c r="B8">
        <v>0</v>
      </c>
      <c r="C8">
        <v>4.3</v>
      </c>
      <c r="D8">
        <v>2.4</v>
      </c>
      <c r="E8">
        <v>9</v>
      </c>
      <c r="F8">
        <f>B8+C8+D8+E8</f>
        <v>15.7</v>
      </c>
      <c r="G8">
        <f>100*_xlfn.PERCENTOF(F8, F2:F11)</f>
        <v>0.93945314253059942</v>
      </c>
    </row>
    <row r="9" spans="1:7" x14ac:dyDescent="0.25">
      <c r="A9" t="s">
        <v>13</v>
      </c>
      <c r="B9">
        <v>0.2</v>
      </c>
      <c r="C9">
        <v>7.5999999999999998E-2</v>
      </c>
      <c r="D9">
        <v>0.35499999999999998</v>
      </c>
      <c r="E9">
        <v>5</v>
      </c>
      <c r="F9">
        <f>B9+C9+D9+E9</f>
        <v>5.6310000000000002</v>
      </c>
      <c r="G9">
        <f>100*_xlfn.PERCENTOF(F9, F2:F11)</f>
        <v>0.33694653793565643</v>
      </c>
    </row>
    <row r="10" spans="1:7" x14ac:dyDescent="0.25">
      <c r="A10" t="s">
        <v>14</v>
      </c>
      <c r="B10">
        <v>11</v>
      </c>
      <c r="C10">
        <v>0</v>
      </c>
      <c r="D10">
        <v>0.66300000000000003</v>
      </c>
      <c r="E10">
        <v>9.0999999999999998E-2</v>
      </c>
      <c r="F10">
        <f>B10+C10+D10+E10</f>
        <v>11.754</v>
      </c>
      <c r="G10">
        <f>100*_xlfn.PERCENTOF(F10, F2:F11)</f>
        <v>0.70333326352259007</v>
      </c>
    </row>
    <row r="11" spans="1:7" x14ac:dyDescent="0.25">
      <c r="A11" t="s">
        <v>15</v>
      </c>
      <c r="B11">
        <v>0</v>
      </c>
      <c r="C11">
        <v>34</v>
      </c>
      <c r="D11">
        <v>18</v>
      </c>
      <c r="E11">
        <v>2.4</v>
      </c>
      <c r="F11">
        <f>B11+C11+D11+E11</f>
        <v>54.4</v>
      </c>
      <c r="G11">
        <f>100*_xlfn.PERCENTOF(F11, F2:F11)</f>
        <v>3.2551752199786379</v>
      </c>
    </row>
    <row r="12" spans="1:7" x14ac:dyDescent="0.25">
      <c r="F12">
        <f>SUM(F2:F11)</f>
        <v>1671.1850000000002</v>
      </c>
      <c r="G12">
        <f>SUM(G2:G11)</f>
        <v>99.999999999999986</v>
      </c>
    </row>
    <row r="18" spans="1:7" x14ac:dyDescent="0.25">
      <c r="A18" t="s">
        <v>0</v>
      </c>
      <c r="B18">
        <v>2021</v>
      </c>
      <c r="C18">
        <v>2022</v>
      </c>
      <c r="D18">
        <v>2023</v>
      </c>
      <c r="E18">
        <v>2024</v>
      </c>
      <c r="F18" t="s">
        <v>18</v>
      </c>
      <c r="G18" t="s">
        <v>16</v>
      </c>
    </row>
    <row r="19" spans="1:7" x14ac:dyDescent="0.25">
      <c r="A19" t="s">
        <v>6</v>
      </c>
      <c r="B19">
        <v>7</v>
      </c>
      <c r="C19">
        <v>21</v>
      </c>
      <c r="D19">
        <v>65</v>
      </c>
      <c r="E19">
        <v>58</v>
      </c>
      <c r="F19">
        <f>B19+C19+D19+E19</f>
        <v>151</v>
      </c>
      <c r="G19">
        <f>100*_xlfn.PERCENTOF(F19, F19:F28)</f>
        <v>27.504553734061933</v>
      </c>
    </row>
    <row r="20" spans="1:7" x14ac:dyDescent="0.25">
      <c r="A20" t="s">
        <v>7</v>
      </c>
      <c r="B20">
        <v>10</v>
      </c>
      <c r="C20">
        <v>35</v>
      </c>
      <c r="D20">
        <v>42</v>
      </c>
      <c r="E20">
        <v>21</v>
      </c>
      <c r="F20">
        <f>B20+C20+D20+E20</f>
        <v>108</v>
      </c>
      <c r="G20">
        <f>100*_xlfn.PERCENTOF(F20, F19:F28)</f>
        <v>19.672131147540984</v>
      </c>
    </row>
    <row r="21" spans="1:7" x14ac:dyDescent="0.25">
      <c r="A21" t="s">
        <v>8</v>
      </c>
      <c r="B21">
        <v>3</v>
      </c>
      <c r="C21">
        <v>16</v>
      </c>
      <c r="D21">
        <v>22</v>
      </c>
      <c r="E21">
        <v>35</v>
      </c>
      <c r="F21">
        <f>B21+C21+D21+E21</f>
        <v>76</v>
      </c>
      <c r="G21">
        <f>100*_xlfn.PERCENTOF(F21, F19:F28)</f>
        <v>13.843351548269581</v>
      </c>
    </row>
    <row r="22" spans="1:7" x14ac:dyDescent="0.25">
      <c r="A22" t="s">
        <v>9</v>
      </c>
      <c r="B22">
        <v>9</v>
      </c>
      <c r="C22">
        <v>13</v>
      </c>
      <c r="D22">
        <v>17</v>
      </c>
      <c r="E22">
        <v>15</v>
      </c>
      <c r="F22">
        <f>B22+C22+D22+E22</f>
        <v>54</v>
      </c>
      <c r="G22">
        <f>100*_xlfn.PERCENTOF(F22, F19:F28)</f>
        <v>9.8360655737704921</v>
      </c>
    </row>
    <row r="23" spans="1:7" x14ac:dyDescent="0.25">
      <c r="A23" t="s">
        <v>10</v>
      </c>
      <c r="B23">
        <v>2</v>
      </c>
      <c r="C23">
        <v>10</v>
      </c>
      <c r="D23">
        <v>8</v>
      </c>
      <c r="E23">
        <v>18</v>
      </c>
      <c r="F23">
        <f>B23+C23+D23+E23</f>
        <v>38</v>
      </c>
      <c r="G23">
        <f>100*_xlfn.PERCENTOF(F23, F19:F28)</f>
        <v>6.9216757741347905</v>
      </c>
    </row>
    <row r="24" spans="1:7" x14ac:dyDescent="0.25">
      <c r="A24" t="s">
        <v>11</v>
      </c>
      <c r="B24">
        <v>5</v>
      </c>
      <c r="C24">
        <v>5</v>
      </c>
      <c r="D24">
        <v>18</v>
      </c>
      <c r="E24">
        <v>12</v>
      </c>
      <c r="F24">
        <f>B24+C24+D24+E24</f>
        <v>40</v>
      </c>
      <c r="G24">
        <f>100*_xlfn.PERCENTOF(F24, F19:F28)</f>
        <v>7.2859744990892539</v>
      </c>
    </row>
    <row r="25" spans="1:7" x14ac:dyDescent="0.25">
      <c r="A25" t="s">
        <v>12</v>
      </c>
      <c r="B25">
        <v>0</v>
      </c>
      <c r="C25">
        <v>8</v>
      </c>
      <c r="D25">
        <v>9</v>
      </c>
      <c r="E25">
        <v>9</v>
      </c>
      <c r="F25">
        <f>B25+C25+D25+E25</f>
        <v>26</v>
      </c>
      <c r="G25">
        <f>100*_xlfn.PERCENTOF(F25, F19:F28)</f>
        <v>4.7358834244080148</v>
      </c>
    </row>
    <row r="26" spans="1:7" x14ac:dyDescent="0.25">
      <c r="A26" t="s">
        <v>13</v>
      </c>
      <c r="B26">
        <v>3</v>
      </c>
      <c r="C26">
        <v>4</v>
      </c>
      <c r="D26">
        <v>18</v>
      </c>
      <c r="E26">
        <v>3</v>
      </c>
      <c r="F26">
        <f>B26+C26+D26+E26</f>
        <v>28</v>
      </c>
      <c r="G26">
        <f>100*_xlfn.PERCENTOF(F26, F19:F28)</f>
        <v>5.1001821493624773</v>
      </c>
    </row>
    <row r="27" spans="1:7" x14ac:dyDescent="0.25">
      <c r="A27" t="s">
        <v>14</v>
      </c>
      <c r="B27">
        <v>2</v>
      </c>
      <c r="C27">
        <v>0</v>
      </c>
      <c r="D27">
        <v>9</v>
      </c>
      <c r="E27">
        <v>2</v>
      </c>
      <c r="F27">
        <f>B27+C27+D27+E27</f>
        <v>13</v>
      </c>
      <c r="G27">
        <f>100*_xlfn.PERCENTOF(F27, F19:F28)</f>
        <v>2.3679417122040074</v>
      </c>
    </row>
    <row r="28" spans="1:7" x14ac:dyDescent="0.25">
      <c r="A28" t="s">
        <v>15</v>
      </c>
      <c r="B28">
        <v>0</v>
      </c>
      <c r="C28">
        <v>5</v>
      </c>
      <c r="D28">
        <v>5</v>
      </c>
      <c r="E28">
        <v>5</v>
      </c>
      <c r="F28">
        <f>B28+C28+D28+E28</f>
        <v>15</v>
      </c>
      <c r="G28">
        <f>100*_xlfn.PERCENTOF(F28, F19:F28)</f>
        <v>2.7322404371584699</v>
      </c>
    </row>
    <row r="29" spans="1:7" x14ac:dyDescent="0.25">
      <c r="F29">
        <f>SUM(F19:F28)</f>
        <v>549</v>
      </c>
      <c r="G29">
        <f>SUM(G19:G28)</f>
        <v>99.999999999999986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Richards  Tynan</dc:creator>
  <cp:lastModifiedBy>Richards  Tynan</cp:lastModifiedBy>
  <dcterms:created xsi:type="dcterms:W3CDTF">2026-03-25T14:45:22Z</dcterms:created>
  <dcterms:modified xsi:type="dcterms:W3CDTF">2026-03-25T15:24:52Z</dcterms:modified>
</cp:coreProperties>
</file>